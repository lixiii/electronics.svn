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plain list" sheetId="2" r:id="rId1"/>
    <sheet name="complete speadsheet" sheetId="1" r:id="rId2"/>
    <sheet name="cable types list" sheetId="3" r:id="rId3"/>
  </sheets>
  <calcPr calcId="144525"/>
</workbook>
</file>

<file path=xl/calcChain.xml><?xml version="1.0" encoding="utf-8"?>
<calcChain xmlns="http://schemas.openxmlformats.org/spreadsheetml/2006/main">
  <c r="O26" i="1" l="1"/>
  <c r="O6" i="1"/>
  <c r="O45" i="1"/>
  <c r="O44" i="1"/>
  <c r="O36" i="1"/>
  <c r="O37" i="1"/>
  <c r="O38" i="1"/>
  <c r="O39" i="1"/>
  <c r="O40" i="1"/>
  <c r="O35" i="1"/>
  <c r="AA28" i="1" l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R42" i="1"/>
  <c r="S42" i="1"/>
  <c r="P42" i="1"/>
  <c r="O42" i="1"/>
  <c r="L42" i="1"/>
  <c r="R31" i="1"/>
  <c r="S31" i="1"/>
  <c r="R32" i="1"/>
  <c r="S32" i="1"/>
  <c r="P31" i="1"/>
  <c r="P32" i="1"/>
  <c r="O31" i="1"/>
  <c r="O32" i="1"/>
  <c r="L31" i="1"/>
  <c r="L32" i="1"/>
  <c r="R30" i="1"/>
  <c r="S30" i="1"/>
  <c r="P30" i="1"/>
  <c r="O30" i="1"/>
  <c r="L30" i="1"/>
  <c r="L26" i="1"/>
  <c r="L27" i="1"/>
  <c r="O27" i="1"/>
  <c r="P27" i="1"/>
  <c r="R27" i="1"/>
  <c r="S27" i="1"/>
  <c r="AA27" i="1"/>
  <c r="K27" i="1" s="1"/>
  <c r="O7" i="1"/>
  <c r="K31" i="1" l="1"/>
  <c r="J27" i="1"/>
  <c r="K32" i="1"/>
  <c r="K42" i="1"/>
  <c r="K30" i="1"/>
  <c r="I42" i="1"/>
  <c r="J42" i="1"/>
  <c r="I27" i="1"/>
  <c r="J31" i="1"/>
  <c r="J32" i="1"/>
  <c r="I31" i="1"/>
  <c r="I32" i="1"/>
  <c r="I30" i="1"/>
  <c r="J30" i="1"/>
  <c r="O16" i="1" l="1"/>
  <c r="O17" i="1"/>
  <c r="O18" i="1"/>
  <c r="O15" i="1"/>
  <c r="O13" i="1"/>
  <c r="O14" i="1"/>
  <c r="O12" i="1"/>
  <c r="O9" i="1"/>
  <c r="O10" i="1"/>
  <c r="O11" i="1"/>
  <c r="O8" i="1"/>
  <c r="R15" i="1"/>
  <c r="S15" i="1"/>
  <c r="R16" i="1"/>
  <c r="S16" i="1"/>
  <c r="R17" i="1"/>
  <c r="S17" i="1"/>
  <c r="R18" i="1"/>
  <c r="S18" i="1"/>
  <c r="R19" i="1"/>
  <c r="S19" i="1"/>
  <c r="R20" i="1"/>
  <c r="S20" i="1"/>
  <c r="R21" i="1"/>
  <c r="S21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9" i="1"/>
  <c r="AA8" i="1"/>
  <c r="AA26" i="1"/>
  <c r="AA5" i="1"/>
  <c r="AA7" i="1"/>
  <c r="AA6" i="1"/>
  <c r="P10" i="1"/>
  <c r="P9" i="1"/>
  <c r="P8" i="1"/>
  <c r="P26" i="1"/>
  <c r="P14" i="1"/>
  <c r="P15" i="1"/>
  <c r="P16" i="1"/>
  <c r="P22" i="1"/>
  <c r="P21" i="1"/>
  <c r="P20" i="1"/>
  <c r="P19" i="1"/>
  <c r="P23" i="1"/>
  <c r="P24" i="1"/>
  <c r="P25" i="1"/>
  <c r="P35" i="1"/>
  <c r="P36" i="1"/>
  <c r="O25" i="1"/>
  <c r="O23" i="1"/>
  <c r="O24" i="1"/>
  <c r="O21" i="1"/>
  <c r="P12" i="1"/>
  <c r="P13" i="1"/>
  <c r="P7" i="1"/>
  <c r="P6" i="1"/>
  <c r="S24" i="1"/>
  <c r="R24" i="1"/>
  <c r="L20" i="1"/>
  <c r="S9" i="1"/>
  <c r="R9" i="1"/>
  <c r="L10" i="1"/>
  <c r="K10" i="1" l="1"/>
  <c r="K20" i="1"/>
  <c r="O29" i="1"/>
  <c r="O43" i="1"/>
  <c r="O41" i="1"/>
  <c r="O28" i="1"/>
  <c r="O34" i="1"/>
  <c r="O33" i="1"/>
  <c r="O22" i="1"/>
  <c r="O20" i="1"/>
  <c r="O19" i="1"/>
  <c r="R6" i="1"/>
  <c r="S6" i="1"/>
  <c r="R7" i="1"/>
  <c r="S7" i="1"/>
  <c r="R26" i="1"/>
  <c r="S26" i="1"/>
  <c r="R8" i="1"/>
  <c r="S8" i="1"/>
  <c r="R10" i="1"/>
  <c r="J10" i="1" s="1"/>
  <c r="S10" i="1"/>
  <c r="R11" i="1"/>
  <c r="S11" i="1"/>
  <c r="R12" i="1"/>
  <c r="S12" i="1"/>
  <c r="R13" i="1"/>
  <c r="S13" i="1"/>
  <c r="R14" i="1"/>
  <c r="S14" i="1"/>
  <c r="R22" i="1"/>
  <c r="S22" i="1"/>
  <c r="R23" i="1"/>
  <c r="S23" i="1"/>
  <c r="R25" i="1"/>
  <c r="S25" i="1"/>
  <c r="R28" i="1"/>
  <c r="S28" i="1"/>
  <c r="R29" i="1"/>
  <c r="S29" i="1"/>
  <c r="R33" i="1"/>
  <c r="S33" i="1"/>
  <c r="R34" i="1"/>
  <c r="S34" i="1"/>
  <c r="R35" i="1"/>
  <c r="S35" i="1"/>
  <c r="R36" i="1"/>
  <c r="S36" i="1"/>
  <c r="R37" i="1"/>
  <c r="S37" i="1"/>
  <c r="R38" i="1"/>
  <c r="S38" i="1"/>
  <c r="R39" i="1"/>
  <c r="S39" i="1"/>
  <c r="R40" i="1"/>
  <c r="S40" i="1"/>
  <c r="R41" i="1"/>
  <c r="S41" i="1"/>
  <c r="R43" i="1"/>
  <c r="S43" i="1"/>
  <c r="R44" i="1"/>
  <c r="S44" i="1"/>
  <c r="R45" i="1"/>
  <c r="S45" i="1"/>
  <c r="P29" i="1"/>
  <c r="P34" i="1"/>
  <c r="P33" i="1"/>
  <c r="P40" i="1"/>
  <c r="P39" i="1"/>
  <c r="P38" i="1"/>
  <c r="P37" i="1"/>
  <c r="P44" i="1"/>
  <c r="P43" i="1"/>
  <c r="P41" i="1"/>
  <c r="P45" i="1"/>
  <c r="P18" i="1"/>
  <c r="P17" i="1"/>
  <c r="I20" i="1" l="1"/>
  <c r="J20" i="1"/>
  <c r="I10" i="1"/>
  <c r="L45" i="1"/>
  <c r="K45" i="1" s="1"/>
  <c r="L44" i="1"/>
  <c r="K44" i="1" s="1"/>
  <c r="L43" i="1"/>
  <c r="K43" i="1" s="1"/>
  <c r="L41" i="1"/>
  <c r="K41" i="1" s="1"/>
  <c r="L40" i="1"/>
  <c r="K40" i="1" s="1"/>
  <c r="L39" i="1"/>
  <c r="K39" i="1" s="1"/>
  <c r="L38" i="1"/>
  <c r="K38" i="1" s="1"/>
  <c r="L37" i="1"/>
  <c r="K37" i="1" s="1"/>
  <c r="L36" i="1"/>
  <c r="K36" i="1" s="1"/>
  <c r="L35" i="1"/>
  <c r="K35" i="1" s="1"/>
  <c r="L34" i="1"/>
  <c r="K34" i="1" s="1"/>
  <c r="L33" i="1"/>
  <c r="K33" i="1" s="1"/>
  <c r="L29" i="1"/>
  <c r="K29" i="1" s="1"/>
  <c r="L28" i="1"/>
  <c r="K28" i="1" s="1"/>
  <c r="L21" i="1"/>
  <c r="K21" i="1" s="1"/>
  <c r="L19" i="1"/>
  <c r="K19" i="1" s="1"/>
  <c r="L14" i="1"/>
  <c r="K14" i="1" s="1"/>
  <c r="L13" i="1"/>
  <c r="K13" i="1" s="1"/>
  <c r="L23" i="1"/>
  <c r="K23" i="1" s="1"/>
  <c r="L24" i="1"/>
  <c r="K24" i="1" s="1"/>
  <c r="L25" i="1"/>
  <c r="K25" i="1" s="1"/>
  <c r="L22" i="1"/>
  <c r="K22" i="1" s="1"/>
  <c r="L18" i="1"/>
  <c r="K18" i="1" s="1"/>
  <c r="L17" i="1"/>
  <c r="K17" i="1" s="1"/>
  <c r="L15" i="1"/>
  <c r="K15" i="1" s="1"/>
  <c r="L12" i="1"/>
  <c r="K12" i="1" s="1"/>
  <c r="L16" i="1"/>
  <c r="K16" i="1" s="1"/>
  <c r="K26" i="1"/>
  <c r="L11" i="1"/>
  <c r="K11" i="1" s="1"/>
  <c r="L9" i="1"/>
  <c r="K9" i="1" s="1"/>
  <c r="L8" i="1"/>
  <c r="K8" i="1" s="1"/>
  <c r="L6" i="1"/>
  <c r="K6" i="1" s="1"/>
  <c r="L7" i="1"/>
  <c r="K7" i="1" s="1"/>
  <c r="X5" i="1"/>
  <c r="R5" i="1"/>
  <c r="S5" i="1"/>
  <c r="W5" i="1"/>
  <c r="P5" i="1"/>
  <c r="L5" i="1"/>
  <c r="O5" i="1"/>
  <c r="J18" i="1" l="1"/>
  <c r="I29" i="1"/>
  <c r="J43" i="1"/>
  <c r="J17" i="1"/>
  <c r="J26" i="1"/>
  <c r="J9" i="1"/>
  <c r="J5" i="1"/>
  <c r="I24" i="1"/>
  <c r="J24" i="1"/>
  <c r="J44" i="1"/>
  <c r="I9" i="1"/>
  <c r="I33" i="1"/>
  <c r="J37" i="1"/>
  <c r="I17" i="1"/>
  <c r="I8" i="1"/>
  <c r="I16" i="1"/>
  <c r="I23" i="1"/>
  <c r="I40" i="1"/>
  <c r="J8" i="1"/>
  <c r="K5" i="1"/>
  <c r="J11" i="1"/>
  <c r="J15" i="1"/>
  <c r="J25" i="1"/>
  <c r="J14" i="1"/>
  <c r="J28" i="1"/>
  <c r="J34" i="1"/>
  <c r="J38" i="1"/>
  <c r="J41" i="1"/>
  <c r="J7" i="1"/>
  <c r="J21" i="1"/>
  <c r="I15" i="1"/>
  <c r="I45" i="1"/>
  <c r="J23" i="1"/>
  <c r="I5" i="1"/>
  <c r="J29" i="1"/>
  <c r="J35" i="1"/>
  <c r="I35" i="1"/>
  <c r="J39" i="1"/>
  <c r="I6" i="1"/>
  <c r="I44" i="1"/>
  <c r="J16" i="1"/>
  <c r="I25" i="1"/>
  <c r="I34" i="1"/>
  <c r="J33" i="1"/>
  <c r="J45" i="1"/>
  <c r="I39" i="1"/>
  <c r="I18" i="1"/>
  <c r="I36" i="1"/>
  <c r="I43" i="1"/>
  <c r="I14" i="1"/>
  <c r="I38" i="1"/>
  <c r="J40" i="1"/>
  <c r="I12" i="1"/>
  <c r="J12" i="1"/>
  <c r="J22" i="1"/>
  <c r="I22" i="1"/>
  <c r="I13" i="1"/>
  <c r="J13" i="1"/>
  <c r="J6" i="1"/>
  <c r="I37" i="1"/>
  <c r="I11" i="1"/>
  <c r="I21" i="1"/>
  <c r="I41" i="1"/>
  <c r="I26" i="1"/>
  <c r="I7" i="1"/>
  <c r="I19" i="1"/>
  <c r="I28" i="1"/>
  <c r="J19" i="1"/>
  <c r="J36" i="1"/>
</calcChain>
</file>

<file path=xl/sharedStrings.xml><?xml version="1.0" encoding="utf-8"?>
<sst xmlns="http://schemas.openxmlformats.org/spreadsheetml/2006/main" count="639" uniqueCount="218">
  <si>
    <t>Function</t>
  </si>
  <si>
    <t>Plug Code</t>
  </si>
  <si>
    <t>Receptacle Code</t>
  </si>
  <si>
    <t>Cable Clamp code</t>
  </si>
  <si>
    <t>Fischer Connector ID</t>
  </si>
  <si>
    <t>Potted</t>
  </si>
  <si>
    <t>Connection type</t>
  </si>
  <si>
    <t>Front lights</t>
  </si>
  <si>
    <t>Gated power</t>
  </si>
  <si>
    <t>Series</t>
  </si>
  <si>
    <t>Socket Body Style</t>
  </si>
  <si>
    <t>Plug Body Style</t>
  </si>
  <si>
    <t>Polarity</t>
  </si>
  <si>
    <t>Contact Config</t>
  </si>
  <si>
    <t>Socket Options</t>
  </si>
  <si>
    <t>Plug Options</t>
  </si>
  <si>
    <t>Cable Clamp field 1</t>
  </si>
  <si>
    <t>Cable diameter</t>
  </si>
  <si>
    <t>Cable Clamp field 2</t>
  </si>
  <si>
    <t>Cable Clamp field 3</t>
  </si>
  <si>
    <t>End Plate (F)</t>
  </si>
  <si>
    <t>Cutting Device</t>
  </si>
  <si>
    <t>Hydrophone 1</t>
  </si>
  <si>
    <t>Hydrophone 2</t>
  </si>
  <si>
    <t>Hydrophone 3</t>
  </si>
  <si>
    <t>Wet Speaker</t>
  </si>
  <si>
    <t>End Plate (R)</t>
  </si>
  <si>
    <t>bias analogue</t>
  </si>
  <si>
    <t>analogue</t>
  </si>
  <si>
    <t>robust data</t>
  </si>
  <si>
    <t>Xbee serial</t>
  </si>
  <si>
    <t>sens data</t>
  </si>
  <si>
    <t>data</t>
  </si>
  <si>
    <t>GPS serial</t>
  </si>
  <si>
    <t>Spare</t>
  </si>
  <si>
    <t>unassigned</t>
  </si>
  <si>
    <t>inline</t>
  </si>
  <si>
    <t>antenna serial</t>
  </si>
  <si>
    <t>SeaSprite serial</t>
  </si>
  <si>
    <t>Thruster 1</t>
  </si>
  <si>
    <t>Thruster 2</t>
  </si>
  <si>
    <t>Thruster 3</t>
  </si>
  <si>
    <t>Thruster 4</t>
  </si>
  <si>
    <t>Thruster 5</t>
  </si>
  <si>
    <t>Thruster 6</t>
  </si>
  <si>
    <t>Multibeam ethernet</t>
  </si>
  <si>
    <t>Combined thrust</t>
  </si>
  <si>
    <t>power+data</t>
  </si>
  <si>
    <t>power PWM</t>
  </si>
  <si>
    <t>A</t>
  </si>
  <si>
    <t>Z</t>
  </si>
  <si>
    <t>DKBE</t>
  </si>
  <si>
    <t>Cable Description</t>
  </si>
  <si>
    <t>Cable sourcing</t>
  </si>
  <si>
    <t>twisted pair cable for CAN</t>
  </si>
  <si>
    <t>screen</t>
  </si>
  <si>
    <t>no</t>
  </si>
  <si>
    <t>yes</t>
  </si>
  <si>
    <t>new socket</t>
  </si>
  <si>
    <t>8 conductor for serial</t>
  </si>
  <si>
    <t>INU serial</t>
  </si>
  <si>
    <t>Hydrophone 3 break</t>
  </si>
  <si>
    <t>USB front camera</t>
  </si>
  <si>
    <t>USB up camera</t>
  </si>
  <si>
    <t>USB down camera</t>
  </si>
  <si>
    <t>built in</t>
  </si>
  <si>
    <t>unselected</t>
  </si>
  <si>
    <t>got it</t>
  </si>
  <si>
    <t>supplied by tritech</t>
  </si>
  <si>
    <t>SeaCon</t>
  </si>
  <si>
    <t>CAUV stock 6 conductor cable</t>
  </si>
  <si>
    <t>screened hydrophone cable</t>
  </si>
  <si>
    <t>from commercial USB cable</t>
  </si>
  <si>
    <t>CAUV inventory/steal</t>
  </si>
  <si>
    <t>Fischer best diam</t>
  </si>
  <si>
    <t>E31</t>
  </si>
  <si>
    <t>Number of contacts req'd</t>
  </si>
  <si>
    <t>cable already owned</t>
  </si>
  <si>
    <t>cable is an unknown</t>
  </si>
  <si>
    <t>1190196 /CAUV inventory</t>
  </si>
  <si>
    <t>DEE 102 A 051 -130</t>
  </si>
  <si>
    <t>E31 102.2/4.1 +B</t>
  </si>
  <si>
    <t>DEE 102 A 054 -130</t>
  </si>
  <si>
    <t>DBPE 102 A 052 -130</t>
  </si>
  <si>
    <t>DKBE 102 A 052 -130</t>
  </si>
  <si>
    <t>DBPE 102 A 056 -130</t>
  </si>
  <si>
    <t>E31 102.2/3.6 +B</t>
  </si>
  <si>
    <t>DEE 102 A 056 -130</t>
  </si>
  <si>
    <t>DBPE 102 A 054 -130</t>
  </si>
  <si>
    <t>DBPE 102 A 053 -130</t>
  </si>
  <si>
    <t>DEE 102 A 053 -130</t>
  </si>
  <si>
    <t>DBPE 103 A 058 -130</t>
  </si>
  <si>
    <t>E31 103.2/5.7 +B</t>
  </si>
  <si>
    <t>DKBE 103 A 058 -130</t>
  </si>
  <si>
    <t>DBPE 103 A 054 -130</t>
  </si>
  <si>
    <t>E31 103.2/4.7 +B</t>
  </si>
  <si>
    <t>DBPE 104 Z 087 -130</t>
  </si>
  <si>
    <t>DBPE 104 A 066 -130</t>
  </si>
  <si>
    <t>E31 105.2/10.7 +B</t>
  </si>
  <si>
    <t>needs reduction</t>
  </si>
  <si>
    <t>do not yet know size of pre-moulded cable</t>
  </si>
  <si>
    <t>E31 104.2/8.7 +B</t>
  </si>
  <si>
    <t>notes</t>
  </si>
  <si>
    <t>CAUV's stock 2 conductor waterproof cable</t>
  </si>
  <si>
    <t>1190204 / cauv inventory</t>
  </si>
  <si>
    <t>Downwards lights</t>
  </si>
  <si>
    <t>Front pressure CAN</t>
  </si>
  <si>
    <t>Front Lights control CAN</t>
  </si>
  <si>
    <t>Down Lights &amp; Strobe CAN</t>
  </si>
  <si>
    <t>Rear pressure CAN</t>
  </si>
  <si>
    <t>to USB hub in sensors bay</t>
  </si>
  <si>
    <t>USB wifi stick</t>
  </si>
  <si>
    <t>USB memory stick</t>
  </si>
  <si>
    <t>Cable moulded into device, diameter 5.1</t>
  </si>
  <si>
    <t>USB spare hub port</t>
  </si>
  <si>
    <t>E32</t>
  </si>
  <si>
    <t>Left battery external balence</t>
  </si>
  <si>
    <t>Right battery external balence</t>
  </si>
  <si>
    <t>Right Battery power to AUV</t>
  </si>
  <si>
    <t>Left Battery power to AUV</t>
  </si>
  <si>
    <t>power</t>
  </si>
  <si>
    <t>End Plate (B)</t>
  </si>
  <si>
    <t>arbitrary; will not be connected under water</t>
  </si>
  <si>
    <t>Tethered ethernet</t>
  </si>
  <si>
    <t>CAUV</t>
  </si>
  <si>
    <t>E31 103.2/6.2 +B</t>
  </si>
  <si>
    <t>E31 104.2/6.7 +B</t>
  </si>
  <si>
    <t>E32 104.3/8.7 +B</t>
  </si>
  <si>
    <t>E31 104.2/7.7 +B</t>
  </si>
  <si>
    <t>E31 103.2/5.2 +B</t>
  </si>
  <si>
    <t>not required</t>
  </si>
  <si>
    <t>type</t>
  </si>
  <si>
    <t>serial</t>
  </si>
  <si>
    <t>combined thrust power</t>
  </si>
  <si>
    <t>battery power moulded to SEACON</t>
  </si>
  <si>
    <t>Thruster power sealed into SEABOTIX</t>
  </si>
  <si>
    <t>power to custom peripherals</t>
  </si>
  <si>
    <t>CAN + 19v</t>
  </si>
  <si>
    <t>hydrophones</t>
  </si>
  <si>
    <t>underwater speaker</t>
  </si>
  <si>
    <t>seasprite serial</t>
  </si>
  <si>
    <t>serial combined</t>
  </si>
  <si>
    <t>cable type ID</t>
  </si>
  <si>
    <t>-</t>
  </si>
  <si>
    <t>DBPE 103 A 057 -130</t>
  </si>
  <si>
    <t>DBPE 104 A 040 -130</t>
  </si>
  <si>
    <t>DEE 104 A 040 -130</t>
  </si>
  <si>
    <t>DBPE 105 A 069 -130</t>
  </si>
  <si>
    <t>DEE 105 Z 069 -130</t>
  </si>
  <si>
    <t>A second cable clamp is required for the inline receptical</t>
  </si>
  <si>
    <r>
      <t>need 2 copies of the</t>
    </r>
    <r>
      <rPr>
        <b/>
        <sz val="11"/>
        <color theme="1"/>
        <rFont val="Calibri"/>
        <family val="2"/>
        <scheme val="minor"/>
      </rPr>
      <t xml:space="preserve"> plug</t>
    </r>
    <r>
      <rPr>
        <sz val="11"/>
        <color theme="1"/>
        <rFont val="Calibri"/>
        <family val="2"/>
        <scheme val="minor"/>
      </rPr>
      <t xml:space="preserve"> only (for spare battery pack)</t>
    </r>
  </si>
  <si>
    <t>S</t>
  </si>
  <si>
    <t>S 102 A 051 -130</t>
  </si>
  <si>
    <t>S 102 A 052 -130</t>
  </si>
  <si>
    <t>S 102 A 056 -130</t>
  </si>
  <si>
    <t>S 102 A 054 -130</t>
  </si>
  <si>
    <t>S 102 A 053 -130</t>
  </si>
  <si>
    <t>S 103 A 057 -130</t>
  </si>
  <si>
    <t>S 103 A 058 -130</t>
  </si>
  <si>
    <t>S 103 A 054 -130</t>
  </si>
  <si>
    <t>S 104 Z 087 -130</t>
  </si>
  <si>
    <t>S 104 A 040 -130</t>
  </si>
  <si>
    <t>S 104 A 066 -130</t>
  </si>
  <si>
    <t>S 105 A 069 -130</t>
  </si>
  <si>
    <t>S 105 Z 069 -130</t>
  </si>
  <si>
    <t>Based upon system diagram version 3.7</t>
  </si>
  <si>
    <t xml:space="preserve">CAN - to front pressure sensor </t>
  </si>
  <si>
    <t>CAN - to front lights controller</t>
  </si>
  <si>
    <t>CAN - to rear lights controller</t>
  </si>
  <si>
    <t xml:space="preserve">CAN - to rear pressure sensor </t>
  </si>
  <si>
    <t>antenna serial break</t>
  </si>
  <si>
    <t>R</t>
  </si>
  <si>
    <t>G</t>
  </si>
  <si>
    <t>B</t>
  </si>
  <si>
    <t>Conductors</t>
  </si>
  <si>
    <t>Ethernet + power to gemini</t>
  </si>
  <si>
    <t>ethernet tether</t>
  </si>
  <si>
    <t>25Ax2, 100mAx2</t>
  </si>
  <si>
    <t>3A</t>
  </si>
  <si>
    <t>1A</t>
  </si>
  <si>
    <t>2A</t>
  </si>
  <si>
    <t>USB (standard, thinish PVC cable)</t>
  </si>
  <si>
    <t>Supplier</t>
  </si>
  <si>
    <t>Product Code</t>
  </si>
  <si>
    <t>List of Fischer connectors for Barracuda v3.7.2</t>
  </si>
  <si>
    <t>number of contacts chosen for keying or extensibility</t>
  </si>
  <si>
    <t>Farnell</t>
  </si>
  <si>
    <t>XBEE coax</t>
  </si>
  <si>
    <t>pre assembled lead</t>
  </si>
  <si>
    <t>50 x 0.25mm CSA=2.5mm²</t>
  </si>
  <si>
    <t>20A</t>
  </si>
  <si>
    <t>CSA = 1mm²</t>
  </si>
  <si>
    <t>8A</t>
  </si>
  <si>
    <t>Application current rating</t>
  </si>
  <si>
    <t>neg</t>
  </si>
  <si>
    <t>Current rating (A)</t>
  </si>
  <si>
    <t>&lt;0.5</t>
  </si>
  <si>
    <t>6A</t>
  </si>
  <si>
    <t>25; 0.1</t>
  </si>
  <si>
    <t>Left Battery power+CAN to AUV</t>
  </si>
  <si>
    <t>Right Battery power+CAN to AUV</t>
  </si>
  <si>
    <t>negligible</t>
  </si>
  <si>
    <t>Multibeam ethernet +power</t>
  </si>
  <si>
    <t>0.5A</t>
  </si>
  <si>
    <t>7 x 0.2mm CSA=0.22mm²</t>
  </si>
  <si>
    <t>1.5A</t>
  </si>
  <si>
    <t>CSA = 0.36mm²</t>
  </si>
  <si>
    <t>Cable Current Rating (calculated from conductor CSA)</t>
  </si>
  <si>
    <t>Cable ID / colour</t>
  </si>
  <si>
    <t>external diameter (measured) / mm</t>
  </si>
  <si>
    <t>external diameter (advertised) / mm</t>
  </si>
  <si>
    <t>3.9 (+/- 0.25)</t>
  </si>
  <si>
    <t>Actual single conductor makeup</t>
  </si>
  <si>
    <t xml:space="preserve">    1218672 acquired</t>
  </si>
  <si>
    <t>1302756 acquired</t>
  </si>
  <si>
    <t>1190215  acquired</t>
  </si>
  <si>
    <t>5.5 (+/- 0.1)</t>
  </si>
  <si>
    <t>Supplied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</si>
</sst>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FFF00"/>
        <bgColor indexed="64"/>
      </patternFill>
    </fill>
    <fill>
      <patternFill patternType="solid">
        <fgColor rgb="FFFF8A55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74C424"/>
        <bgColor indexed="64"/>
      </patternFill>
    </fill>
    <fill>
      <patternFill patternType="solid">
        <fgColor rgb="FF017AFF"/>
        <bgColor indexed="64"/>
      </patternFill>
    </fill>
    <fill>
      <patternFill patternType="solid">
        <fgColor rgb="FFFFB601"/>
        <bgColor indexed="64"/>
      </patternFill>
    </fill>
    <fill>
      <patternFill patternType="solid">
        <fgColor rgb="FFBA0270"/>
        <bgColor indexed="64"/>
      </patternFill>
    </fill>
    <fill>
      <patternFill patternType="solid">
        <fgColor rgb="FF08F6A7"/>
        <bgColor indexed="64"/>
      </patternFill>
    </fill>
    <fill>
      <patternFill patternType="solid">
        <fgColor rgb="FF25E0FF"/>
        <bgColor indexed="64"/>
      </patternFill>
    </fill>
    <fill>
      <patternFill patternType="solid">
        <fgColor rgb="FF8FEFFF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DB99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/>
    <xf numFmtId="0" fontId="3" fillId="0" borderId="0" xfId="0" applyFont="1" applyAlignment="1"/>
    <xf numFmtId="0" fontId="4" fillId="0" borderId="0" xfId="0" applyFont="1" applyAlignment="1"/>
    <xf numFmtId="0" fontId="1" fillId="0" borderId="0" xfId="0" applyFont="1" applyFill="1" applyAlignment="1">
      <alignment horizontal="center" vertical="center" wrapText="1"/>
    </xf>
    <xf numFmtId="0" fontId="0" fillId="0" borderId="0" xfId="0" applyFill="1" applyAlignment="1"/>
    <xf numFmtId="0" fontId="2" fillId="0" borderId="0" xfId="0" applyFont="1" applyFill="1" applyAlignment="1">
      <alignment horizontal="left"/>
    </xf>
    <xf numFmtId="0" fontId="0" fillId="0" borderId="0" xfId="0" applyFill="1" applyAlignment="1">
      <alignment horizontal="left"/>
    </xf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0" borderId="5" xfId="0" applyFill="1" applyBorder="1" applyAlignment="1">
      <alignment horizontal="center"/>
    </xf>
    <xf numFmtId="0" fontId="0" fillId="12" borderId="0" xfId="0" applyFill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1" fillId="0" borderId="0" xfId="0" applyFont="1" applyFill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1" fillId="0" borderId="17" xfId="0" applyFont="1" applyFill="1" applyBorder="1" applyAlignment="1">
      <alignment horizontal="center" vertical="center" wrapText="1"/>
    </xf>
    <xf numFmtId="0" fontId="1" fillId="0" borderId="18" xfId="0" applyFont="1" applyFill="1" applyBorder="1" applyAlignment="1">
      <alignment horizontal="center" vertical="center" wrapText="1"/>
    </xf>
    <xf numFmtId="0" fontId="1" fillId="0" borderId="18" xfId="0" applyFont="1" applyFill="1" applyBorder="1" applyAlignment="1">
      <alignment horizontal="center"/>
    </xf>
    <xf numFmtId="0" fontId="1" fillId="0" borderId="19" xfId="0" applyFont="1" applyFill="1" applyBorder="1" applyAlignment="1">
      <alignment horizontal="center"/>
    </xf>
    <xf numFmtId="0" fontId="0" fillId="13" borderId="0" xfId="0" applyFill="1" applyAlignment="1">
      <alignment horizontal="center"/>
    </xf>
    <xf numFmtId="0" fontId="0" fillId="0" borderId="0" xfId="0" applyFill="1" applyAlignment="1">
      <alignment horizontal="center" vertical="center"/>
    </xf>
    <xf numFmtId="0" fontId="0" fillId="22" borderId="0" xfId="0" applyFill="1" applyAlignment="1">
      <alignment horizontal="center"/>
    </xf>
    <xf numFmtId="0" fontId="0" fillId="24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0" fillId="20" borderId="0" xfId="0" applyFill="1" applyAlignment="1">
      <alignment horizontal="center"/>
    </xf>
    <xf numFmtId="0" fontId="0" fillId="18" borderId="0" xfId="0" applyFill="1" applyAlignment="1">
      <alignment horizontal="center"/>
    </xf>
    <xf numFmtId="0" fontId="0" fillId="23" borderId="0" xfId="0" applyFill="1" applyAlignment="1">
      <alignment horizontal="center"/>
    </xf>
    <xf numFmtId="0" fontId="0" fillId="19" borderId="0" xfId="0" applyFill="1" applyAlignment="1">
      <alignment horizontal="center"/>
    </xf>
    <xf numFmtId="0" fontId="0" fillId="16" borderId="0" xfId="0" applyFill="1" applyAlignment="1">
      <alignment horizontal="center"/>
    </xf>
    <xf numFmtId="0" fontId="0" fillId="21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0" fillId="0" borderId="0" xfId="0" applyFill="1"/>
    <xf numFmtId="0" fontId="0" fillId="17" borderId="0" xfId="0" applyFill="1" applyAlignment="1">
      <alignment horizontal="center"/>
    </xf>
    <xf numFmtId="0" fontId="0" fillId="17" borderId="0" xfId="0" quotePrefix="1" applyFill="1" applyAlignment="1">
      <alignment horizontal="center"/>
    </xf>
    <xf numFmtId="0" fontId="0" fillId="25" borderId="0" xfId="0" applyFill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7" fillId="0" borderId="0" xfId="0" applyFont="1" applyAlignment="1">
      <alignment horizontal="center"/>
    </xf>
    <xf numFmtId="0" fontId="5" fillId="26" borderId="0" xfId="0" applyFont="1" applyFill="1" applyAlignment="1">
      <alignment horizontal="center"/>
    </xf>
    <xf numFmtId="0" fontId="0" fillId="0" borderId="0" xfId="0" quotePrefix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/>
    </xf>
    <xf numFmtId="0" fontId="0" fillId="27" borderId="0" xfId="0" applyFill="1" applyAlignment="1">
      <alignment horizontal="center"/>
    </xf>
    <xf numFmtId="0" fontId="0" fillId="28" borderId="0" xfId="0" applyFill="1" applyAlignment="1">
      <alignment horizontal="center"/>
    </xf>
    <xf numFmtId="0" fontId="8" fillId="29" borderId="0" xfId="0" applyFont="1" applyFill="1" applyAlignment="1">
      <alignment horizontal="center"/>
    </xf>
    <xf numFmtId="0" fontId="0" fillId="29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DB99"/>
      <color rgb="FF99FF99"/>
      <color rgb="FFFFFF99"/>
      <color rgb="FF3366FF"/>
      <color rgb="FF8FEFFF"/>
      <color rgb="FF9FF1FF"/>
      <color rgb="FF25E0FF"/>
      <color rgb="FF0DDCFF"/>
      <color rgb="FF08F6A7"/>
      <color rgb="FF3AF8B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zoomScale="70" zoomScaleNormal="70" zoomScalePageLayoutView="59" workbookViewId="0">
      <selection activeCell="F30" sqref="F30"/>
    </sheetView>
  </sheetViews>
  <sheetFormatPr defaultRowHeight="15" x14ac:dyDescent="0.25"/>
  <cols>
    <col min="1" max="1" width="22.7109375" style="3" customWidth="1"/>
    <col min="2" max="2" width="42.85546875" style="3" bestFit="1" customWidth="1"/>
    <col min="3" max="3" width="20.28515625" style="3" customWidth="1"/>
    <col min="4" max="4" width="21.5703125" style="3" customWidth="1"/>
    <col min="5" max="5" width="22.5703125" style="3" bestFit="1" customWidth="1"/>
    <col min="6" max="6" width="54.42578125" style="3" bestFit="1" customWidth="1"/>
    <col min="7" max="16384" width="9.140625" style="3"/>
  </cols>
  <sheetData>
    <row r="1" spans="1:6" s="35" customFormat="1" ht="15.75" thickBot="1" x14ac:dyDescent="0.3">
      <c r="A1" s="40" t="s">
        <v>4</v>
      </c>
      <c r="B1" s="41" t="s">
        <v>0</v>
      </c>
      <c r="C1" s="42" t="s">
        <v>1</v>
      </c>
      <c r="D1" s="42" t="s">
        <v>2</v>
      </c>
      <c r="E1" s="43" t="s">
        <v>3</v>
      </c>
      <c r="F1" s="35" t="s">
        <v>102</v>
      </c>
    </row>
    <row r="2" spans="1:6" x14ac:dyDescent="0.25">
      <c r="A2" s="38">
        <v>1</v>
      </c>
      <c r="B2" s="39" t="s">
        <v>7</v>
      </c>
      <c r="C2" s="39" t="s">
        <v>152</v>
      </c>
      <c r="D2" s="39" t="s">
        <v>80</v>
      </c>
      <c r="E2" s="60" t="s">
        <v>86</v>
      </c>
    </row>
    <row r="3" spans="1:6" x14ac:dyDescent="0.25">
      <c r="A3" s="63">
        <v>2</v>
      </c>
      <c r="B3" s="27" t="s">
        <v>21</v>
      </c>
      <c r="C3" s="27" t="s">
        <v>153</v>
      </c>
      <c r="D3" s="27" t="s">
        <v>83</v>
      </c>
      <c r="E3" s="61" t="s">
        <v>86</v>
      </c>
    </row>
    <row r="4" spans="1:6" x14ac:dyDescent="0.25">
      <c r="A4" s="36">
        <v>3</v>
      </c>
      <c r="B4" s="27" t="s">
        <v>105</v>
      </c>
      <c r="C4" s="27" t="s">
        <v>152</v>
      </c>
      <c r="D4" s="27" t="s">
        <v>80</v>
      </c>
      <c r="E4" s="61" t="s">
        <v>86</v>
      </c>
    </row>
    <row r="5" spans="1:6" x14ac:dyDescent="0.25">
      <c r="A5" s="36">
        <v>4</v>
      </c>
      <c r="B5" s="27" t="s">
        <v>22</v>
      </c>
      <c r="C5" s="27" t="s">
        <v>153</v>
      </c>
      <c r="D5" s="27" t="s">
        <v>83</v>
      </c>
      <c r="E5" s="61" t="s">
        <v>81</v>
      </c>
    </row>
    <row r="6" spans="1:6" x14ac:dyDescent="0.25">
      <c r="A6" s="36">
        <v>5</v>
      </c>
      <c r="B6" s="27" t="s">
        <v>23</v>
      </c>
      <c r="C6" s="27" t="s">
        <v>153</v>
      </c>
      <c r="D6" s="27" t="s">
        <v>83</v>
      </c>
      <c r="E6" s="61" t="s">
        <v>81</v>
      </c>
    </row>
    <row r="7" spans="1:6" x14ac:dyDescent="0.25">
      <c r="A7" s="36">
        <v>6</v>
      </c>
      <c r="B7" s="27" t="s">
        <v>24</v>
      </c>
      <c r="C7" s="27" t="s">
        <v>153</v>
      </c>
      <c r="D7" s="27" t="s">
        <v>83</v>
      </c>
      <c r="E7" s="61" t="s">
        <v>81</v>
      </c>
    </row>
    <row r="8" spans="1:6" x14ac:dyDescent="0.25">
      <c r="A8" s="36">
        <v>7</v>
      </c>
      <c r="B8" s="27" t="s">
        <v>61</v>
      </c>
      <c r="C8" s="27" t="s">
        <v>153</v>
      </c>
      <c r="D8" s="27" t="s">
        <v>84</v>
      </c>
      <c r="E8" s="61" t="s">
        <v>81</v>
      </c>
      <c r="F8" s="12" t="s">
        <v>149</v>
      </c>
    </row>
    <row r="9" spans="1:6" x14ac:dyDescent="0.25">
      <c r="A9" s="36">
        <v>8</v>
      </c>
      <c r="B9" s="27" t="s">
        <v>60</v>
      </c>
      <c r="C9" s="27" t="s">
        <v>154</v>
      </c>
      <c r="D9" s="27" t="s">
        <v>85</v>
      </c>
      <c r="E9" s="61" t="s">
        <v>86</v>
      </c>
    </row>
    <row r="10" spans="1:6" x14ac:dyDescent="0.25">
      <c r="A10" s="36">
        <v>9</v>
      </c>
      <c r="B10" s="27" t="s">
        <v>30</v>
      </c>
      <c r="C10" s="27" t="s">
        <v>154</v>
      </c>
      <c r="D10" s="27" t="s">
        <v>87</v>
      </c>
      <c r="E10" s="61" t="s">
        <v>86</v>
      </c>
    </row>
    <row r="11" spans="1:6" x14ac:dyDescent="0.25">
      <c r="A11" s="36">
        <v>10</v>
      </c>
      <c r="B11" s="27" t="s">
        <v>33</v>
      </c>
      <c r="C11" s="27" t="s">
        <v>154</v>
      </c>
      <c r="D11" s="27" t="s">
        <v>87</v>
      </c>
      <c r="E11" s="61" t="s">
        <v>86</v>
      </c>
    </row>
    <row r="12" spans="1:6" x14ac:dyDescent="0.25">
      <c r="A12" s="36">
        <v>11</v>
      </c>
      <c r="B12" s="27" t="s">
        <v>106</v>
      </c>
      <c r="C12" s="27" t="s">
        <v>155</v>
      </c>
      <c r="D12" s="27" t="s">
        <v>82</v>
      </c>
      <c r="E12" s="61" t="s">
        <v>81</v>
      </c>
    </row>
    <row r="13" spans="1:6" x14ac:dyDescent="0.25">
      <c r="A13" s="36">
        <v>12</v>
      </c>
      <c r="B13" s="27" t="s">
        <v>107</v>
      </c>
      <c r="C13" s="27" t="s">
        <v>155</v>
      </c>
      <c r="D13" s="27" t="s">
        <v>88</v>
      </c>
      <c r="E13" s="61" t="s">
        <v>81</v>
      </c>
    </row>
    <row r="14" spans="1:6" x14ac:dyDescent="0.25">
      <c r="A14" s="36">
        <v>13</v>
      </c>
      <c r="B14" s="27" t="s">
        <v>108</v>
      </c>
      <c r="C14" s="27" t="s">
        <v>155</v>
      </c>
      <c r="D14" s="27" t="s">
        <v>88</v>
      </c>
      <c r="E14" s="61" t="s">
        <v>81</v>
      </c>
    </row>
    <row r="15" spans="1:6" x14ac:dyDescent="0.25">
      <c r="A15" s="36">
        <v>14</v>
      </c>
      <c r="B15" s="27" t="s">
        <v>109</v>
      </c>
      <c r="C15" s="27" t="s">
        <v>155</v>
      </c>
      <c r="D15" s="27" t="s">
        <v>82</v>
      </c>
      <c r="E15" s="61" t="s">
        <v>81</v>
      </c>
    </row>
    <row r="16" spans="1:6" x14ac:dyDescent="0.25">
      <c r="A16" s="36">
        <v>15</v>
      </c>
      <c r="B16" s="27" t="s">
        <v>62</v>
      </c>
      <c r="C16" s="27" t="s">
        <v>156</v>
      </c>
      <c r="D16" s="27" t="s">
        <v>89</v>
      </c>
      <c r="E16" s="61" t="s">
        <v>81</v>
      </c>
    </row>
    <row r="17" spans="1:6" x14ac:dyDescent="0.25">
      <c r="A17" s="36">
        <v>16</v>
      </c>
      <c r="B17" s="27" t="s">
        <v>63</v>
      </c>
      <c r="C17" s="27" t="s">
        <v>156</v>
      </c>
      <c r="D17" s="27" t="s">
        <v>89</v>
      </c>
      <c r="E17" s="61" t="s">
        <v>81</v>
      </c>
    </row>
    <row r="18" spans="1:6" x14ac:dyDescent="0.25">
      <c r="A18" s="36">
        <v>17</v>
      </c>
      <c r="B18" s="27" t="s">
        <v>64</v>
      </c>
      <c r="C18" s="27" t="s">
        <v>156</v>
      </c>
      <c r="D18" s="27" t="s">
        <v>89</v>
      </c>
      <c r="E18" s="61" t="s">
        <v>81</v>
      </c>
    </row>
    <row r="19" spans="1:6" x14ac:dyDescent="0.25">
      <c r="A19" s="36">
        <v>18</v>
      </c>
      <c r="B19" s="27" t="s">
        <v>110</v>
      </c>
      <c r="C19" s="27" t="s">
        <v>156</v>
      </c>
      <c r="D19" s="27" t="s">
        <v>89</v>
      </c>
      <c r="E19" s="61" t="s">
        <v>81</v>
      </c>
    </row>
    <row r="20" spans="1:6" x14ac:dyDescent="0.25">
      <c r="A20" s="36">
        <v>19</v>
      </c>
      <c r="B20" s="27" t="s">
        <v>111</v>
      </c>
      <c r="C20" s="27" t="s">
        <v>156</v>
      </c>
      <c r="D20" s="27" t="s">
        <v>90</v>
      </c>
      <c r="E20" s="61" t="s">
        <v>81</v>
      </c>
    </row>
    <row r="21" spans="1:6" x14ac:dyDescent="0.25">
      <c r="A21" s="36">
        <v>20</v>
      </c>
      <c r="B21" s="27" t="s">
        <v>112</v>
      </c>
      <c r="C21" s="27" t="s">
        <v>156</v>
      </c>
      <c r="D21" s="27" t="s">
        <v>90</v>
      </c>
      <c r="E21" s="61" t="s">
        <v>81</v>
      </c>
    </row>
    <row r="22" spans="1:6" x14ac:dyDescent="0.25">
      <c r="A22" s="36">
        <v>21</v>
      </c>
      <c r="B22" s="27" t="s">
        <v>114</v>
      </c>
      <c r="C22" s="27" t="s">
        <v>156</v>
      </c>
      <c r="D22" s="27" t="s">
        <v>90</v>
      </c>
      <c r="E22" s="61" t="s">
        <v>81</v>
      </c>
    </row>
    <row r="23" spans="1:6" x14ac:dyDescent="0.25">
      <c r="A23" s="63">
        <v>22</v>
      </c>
      <c r="B23" s="27" t="s">
        <v>25</v>
      </c>
      <c r="C23" s="27" t="s">
        <v>157</v>
      </c>
      <c r="D23" s="27" t="s">
        <v>144</v>
      </c>
      <c r="E23" s="61" t="s">
        <v>129</v>
      </c>
    </row>
    <row r="24" spans="1:6" x14ac:dyDescent="0.25">
      <c r="A24" s="36">
        <v>23</v>
      </c>
      <c r="B24" s="27" t="s">
        <v>37</v>
      </c>
      <c r="C24" s="27" t="s">
        <v>158</v>
      </c>
      <c r="D24" s="27" t="s">
        <v>91</v>
      </c>
      <c r="E24" s="61" t="s">
        <v>92</v>
      </c>
    </row>
    <row r="25" spans="1:6" x14ac:dyDescent="0.25">
      <c r="A25" s="36">
        <v>24</v>
      </c>
      <c r="B25" s="27" t="s">
        <v>37</v>
      </c>
      <c r="C25" s="27" t="s">
        <v>158</v>
      </c>
      <c r="D25" s="27" t="s">
        <v>93</v>
      </c>
      <c r="E25" s="61" t="s">
        <v>92</v>
      </c>
      <c r="F25" s="12" t="s">
        <v>149</v>
      </c>
    </row>
    <row r="26" spans="1:6" x14ac:dyDescent="0.25">
      <c r="A26" s="36">
        <v>25</v>
      </c>
      <c r="B26" s="27" t="s">
        <v>38</v>
      </c>
      <c r="C26" s="27" t="s">
        <v>159</v>
      </c>
      <c r="D26" s="27" t="s">
        <v>94</v>
      </c>
      <c r="E26" s="61" t="s">
        <v>95</v>
      </c>
    </row>
    <row r="27" spans="1:6" x14ac:dyDescent="0.25">
      <c r="A27" s="36">
        <v>26</v>
      </c>
      <c r="B27" s="27" t="s">
        <v>34</v>
      </c>
      <c r="C27" s="27" t="s">
        <v>158</v>
      </c>
      <c r="D27" s="27" t="s">
        <v>91</v>
      </c>
      <c r="E27" s="61" t="s">
        <v>125</v>
      </c>
    </row>
    <row r="28" spans="1:6" x14ac:dyDescent="0.25">
      <c r="A28" s="36">
        <v>27</v>
      </c>
      <c r="B28" s="27" t="s">
        <v>116</v>
      </c>
      <c r="C28" s="27" t="s">
        <v>158</v>
      </c>
      <c r="D28" s="27" t="s">
        <v>91</v>
      </c>
      <c r="E28" s="61" t="s">
        <v>130</v>
      </c>
      <c r="F28" s="12" t="s">
        <v>150</v>
      </c>
    </row>
    <row r="29" spans="1:6" x14ac:dyDescent="0.25">
      <c r="A29" s="36">
        <v>28</v>
      </c>
      <c r="B29" s="27" t="s">
        <v>117</v>
      </c>
      <c r="C29" s="27" t="s">
        <v>158</v>
      </c>
      <c r="D29" s="27" t="s">
        <v>91</v>
      </c>
      <c r="E29" s="61" t="s">
        <v>130</v>
      </c>
      <c r="F29" s="12" t="s">
        <v>150</v>
      </c>
    </row>
    <row r="30" spans="1:6" x14ac:dyDescent="0.25">
      <c r="A30" s="36">
        <v>29</v>
      </c>
      <c r="B30" s="27" t="s">
        <v>119</v>
      </c>
      <c r="C30" s="27" t="s">
        <v>160</v>
      </c>
      <c r="D30" s="27" t="s">
        <v>96</v>
      </c>
      <c r="E30" s="61" t="s">
        <v>101</v>
      </c>
    </row>
    <row r="31" spans="1:6" x14ac:dyDescent="0.25">
      <c r="A31" s="36">
        <v>30</v>
      </c>
      <c r="B31" s="27" t="s">
        <v>118</v>
      </c>
      <c r="C31" s="27" t="s">
        <v>160</v>
      </c>
      <c r="D31" s="27" t="s">
        <v>96</v>
      </c>
      <c r="E31" s="61" t="s">
        <v>101</v>
      </c>
    </row>
    <row r="32" spans="1:6" x14ac:dyDescent="0.25">
      <c r="A32" s="63">
        <v>31</v>
      </c>
      <c r="B32" s="27" t="s">
        <v>39</v>
      </c>
      <c r="C32" s="27" t="s">
        <v>161</v>
      </c>
      <c r="D32" s="27" t="s">
        <v>145</v>
      </c>
      <c r="E32" s="61" t="s">
        <v>126</v>
      </c>
    </row>
    <row r="33" spans="1:5" x14ac:dyDescent="0.25">
      <c r="A33" s="63">
        <v>32</v>
      </c>
      <c r="B33" s="27" t="s">
        <v>40</v>
      </c>
      <c r="C33" s="27" t="s">
        <v>161</v>
      </c>
      <c r="D33" s="27" t="s">
        <v>145</v>
      </c>
      <c r="E33" s="61" t="s">
        <v>126</v>
      </c>
    </row>
    <row r="34" spans="1:5" x14ac:dyDescent="0.25">
      <c r="A34" s="63">
        <v>33</v>
      </c>
      <c r="B34" s="27" t="s">
        <v>41</v>
      </c>
      <c r="C34" s="27" t="s">
        <v>161</v>
      </c>
      <c r="D34" s="27" t="s">
        <v>146</v>
      </c>
      <c r="E34" s="61" t="s">
        <v>126</v>
      </c>
    </row>
    <row r="35" spans="1:5" x14ac:dyDescent="0.25">
      <c r="A35" s="63">
        <v>34</v>
      </c>
      <c r="B35" s="27" t="s">
        <v>42</v>
      </c>
      <c r="C35" s="27" t="s">
        <v>161</v>
      </c>
      <c r="D35" s="27" t="s">
        <v>146</v>
      </c>
      <c r="E35" s="61" t="s">
        <v>126</v>
      </c>
    </row>
    <row r="36" spans="1:5" x14ac:dyDescent="0.25">
      <c r="A36" s="63">
        <v>35</v>
      </c>
      <c r="B36" s="27" t="s">
        <v>43</v>
      </c>
      <c r="C36" s="27" t="s">
        <v>161</v>
      </c>
      <c r="D36" s="27" t="s">
        <v>146</v>
      </c>
      <c r="E36" s="61" t="s">
        <v>126</v>
      </c>
    </row>
    <row r="37" spans="1:5" x14ac:dyDescent="0.25">
      <c r="A37" s="63">
        <v>36</v>
      </c>
      <c r="B37" s="27" t="s">
        <v>44</v>
      </c>
      <c r="C37" s="27" t="s">
        <v>161</v>
      </c>
      <c r="D37" s="27" t="s">
        <v>146</v>
      </c>
      <c r="E37" s="61" t="s">
        <v>126</v>
      </c>
    </row>
    <row r="38" spans="1:5" x14ac:dyDescent="0.25">
      <c r="A38" s="36">
        <v>37</v>
      </c>
      <c r="B38" s="27" t="s">
        <v>45</v>
      </c>
      <c r="C38" s="27" t="s">
        <v>162</v>
      </c>
      <c r="D38" s="27" t="s">
        <v>97</v>
      </c>
      <c r="E38" s="61" t="s">
        <v>101</v>
      </c>
    </row>
    <row r="39" spans="1:5" x14ac:dyDescent="0.25">
      <c r="A39" s="36">
        <v>38</v>
      </c>
      <c r="B39" s="27" t="s">
        <v>123</v>
      </c>
      <c r="C39" s="27" t="s">
        <v>162</v>
      </c>
      <c r="D39" s="27" t="s">
        <v>97</v>
      </c>
      <c r="E39" s="61" t="s">
        <v>127</v>
      </c>
    </row>
    <row r="40" spans="1:5" x14ac:dyDescent="0.25">
      <c r="A40" s="36">
        <v>39</v>
      </c>
      <c r="B40" s="27" t="s">
        <v>34</v>
      </c>
      <c r="C40" s="27" t="s">
        <v>162</v>
      </c>
      <c r="D40" s="27" t="s">
        <v>97</v>
      </c>
      <c r="E40" s="61" t="s">
        <v>128</v>
      </c>
    </row>
    <row r="41" spans="1:5" x14ac:dyDescent="0.25">
      <c r="A41" s="63">
        <v>40</v>
      </c>
      <c r="B41" s="27" t="s">
        <v>46</v>
      </c>
      <c r="C41" s="27" t="s">
        <v>163</v>
      </c>
      <c r="D41" s="27" t="s">
        <v>147</v>
      </c>
      <c r="E41" s="61" t="s">
        <v>98</v>
      </c>
    </row>
    <row r="42" spans="1:5" ht="15.75" thickBot="1" x14ac:dyDescent="0.3">
      <c r="A42" s="64">
        <v>41</v>
      </c>
      <c r="B42" s="37" t="s">
        <v>46</v>
      </c>
      <c r="C42" s="37" t="s">
        <v>164</v>
      </c>
      <c r="D42" s="37" t="s">
        <v>148</v>
      </c>
      <c r="E42" s="62" t="s">
        <v>98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2"/>
  <sheetViews>
    <sheetView topLeftCell="J1" zoomScale="85" zoomScaleNormal="85" workbookViewId="0">
      <selection activeCell="Y9" sqref="Y9"/>
    </sheetView>
  </sheetViews>
  <sheetFormatPr defaultRowHeight="15" x14ac:dyDescent="0.25"/>
  <cols>
    <col min="1" max="1" width="14.42578125" style="1" customWidth="1"/>
    <col min="2" max="2" width="29.7109375" style="1" customWidth="1"/>
    <col min="3" max="3" width="13.5703125" style="1" customWidth="1"/>
    <col min="4" max="4" width="12.42578125" style="1" customWidth="1"/>
    <col min="5" max="5" width="10" style="1" customWidth="1"/>
    <col min="6" max="6" width="12.42578125" style="3" customWidth="1"/>
    <col min="7" max="7" width="23.28515625" style="3" customWidth="1"/>
    <col min="8" max="8" width="12.42578125" style="1" customWidth="1"/>
    <col min="9" max="11" width="21.85546875" style="3" customWidth="1"/>
    <col min="12" max="12" width="9.140625" style="1" customWidth="1"/>
    <col min="13" max="13" width="1.42578125" style="1" customWidth="1"/>
    <col min="14" max="14" width="9.140625" style="1" customWidth="1"/>
    <col min="15" max="15" width="9.140625" style="3" customWidth="1"/>
    <col min="16" max="17" width="9.140625" style="1" customWidth="1"/>
    <col min="18" max="19" width="9.140625" style="3" customWidth="1"/>
    <col min="20" max="20" width="42.42578125" style="56" bestFit="1" customWidth="1"/>
    <col min="21" max="21" width="9.28515625" style="45" customWidth="1"/>
    <col min="22" max="22" width="26.28515625" customWidth="1"/>
    <col min="23" max="24" width="9.140625" style="1"/>
    <col min="25" max="25" width="9.140625" style="3"/>
    <col min="26" max="26" width="9.140625" style="1"/>
    <col min="27" max="27" width="9.140625" style="1" customWidth="1"/>
    <col min="28" max="28" width="23" style="1" customWidth="1"/>
    <col min="29" max="16384" width="9.140625" style="1"/>
  </cols>
  <sheetData>
    <row r="1" spans="1:27" ht="21" x14ac:dyDescent="0.35">
      <c r="B1" s="18" t="s">
        <v>184</v>
      </c>
      <c r="C1" s="18"/>
      <c r="D1" s="18"/>
      <c r="E1" s="18"/>
      <c r="F1" s="21"/>
      <c r="G1" s="21"/>
      <c r="H1" s="17"/>
    </row>
    <row r="2" spans="1:27" ht="21" x14ac:dyDescent="0.35">
      <c r="B2" s="19" t="s">
        <v>165</v>
      </c>
      <c r="C2" s="19"/>
      <c r="D2" s="15"/>
      <c r="E2" s="15"/>
      <c r="F2" s="22"/>
      <c r="G2" s="22"/>
      <c r="H2" s="22"/>
      <c r="K2" s="23"/>
      <c r="L2" s="3"/>
      <c r="T2" s="23" t="s">
        <v>77</v>
      </c>
      <c r="V2" s="26" t="s">
        <v>78</v>
      </c>
    </row>
    <row r="3" spans="1:27" ht="21.75" thickBot="1" x14ac:dyDescent="0.4">
      <c r="H3" s="16"/>
    </row>
    <row r="4" spans="1:27" s="2" customFormat="1" ht="45.75" thickBot="1" x14ac:dyDescent="0.3">
      <c r="A4" s="2" t="s">
        <v>4</v>
      </c>
      <c r="B4" s="2" t="s">
        <v>0</v>
      </c>
      <c r="C4" s="2" t="s">
        <v>6</v>
      </c>
      <c r="D4" s="2" t="s">
        <v>55</v>
      </c>
      <c r="E4" s="2" t="s">
        <v>195</v>
      </c>
      <c r="F4" s="20" t="s">
        <v>76</v>
      </c>
      <c r="G4" s="20" t="s">
        <v>185</v>
      </c>
      <c r="H4" s="2" t="s">
        <v>58</v>
      </c>
      <c r="I4" s="7" t="s">
        <v>1</v>
      </c>
      <c r="J4" s="7" t="s">
        <v>2</v>
      </c>
      <c r="K4" s="7" t="s">
        <v>3</v>
      </c>
      <c r="L4" s="2" t="s">
        <v>9</v>
      </c>
      <c r="N4" s="2" t="s">
        <v>12</v>
      </c>
      <c r="O4" s="20" t="s">
        <v>13</v>
      </c>
      <c r="P4" s="2" t="s">
        <v>10</v>
      </c>
      <c r="Q4" s="2" t="s">
        <v>11</v>
      </c>
      <c r="R4" s="20" t="s">
        <v>14</v>
      </c>
      <c r="S4" s="20" t="s">
        <v>15</v>
      </c>
      <c r="T4" s="20" t="s">
        <v>52</v>
      </c>
      <c r="U4" s="20" t="s">
        <v>142</v>
      </c>
      <c r="V4" s="2" t="s">
        <v>53</v>
      </c>
      <c r="W4" s="2" t="s">
        <v>16</v>
      </c>
      <c r="X4" s="2" t="s">
        <v>18</v>
      </c>
      <c r="Y4" s="20" t="s">
        <v>17</v>
      </c>
      <c r="Z4" s="2" t="s">
        <v>74</v>
      </c>
      <c r="AA4" s="2" t="s">
        <v>19</v>
      </c>
    </row>
    <row r="5" spans="1:27" x14ac:dyDescent="0.25">
      <c r="A5" s="1">
        <v>1</v>
      </c>
      <c r="B5" s="3" t="s">
        <v>7</v>
      </c>
      <c r="C5" s="1" t="s">
        <v>8</v>
      </c>
      <c r="D5" s="1" t="s">
        <v>56</v>
      </c>
      <c r="E5" s="3">
        <v>1.5</v>
      </c>
      <c r="F5" s="3">
        <v>2</v>
      </c>
      <c r="G5" s="3">
        <v>2</v>
      </c>
      <c r="H5" s="11" t="s">
        <v>5</v>
      </c>
      <c r="I5" s="29" t="str">
        <f t="shared" ref="I5:I45" si="0">IF(OR(Q5="",L5="",N5="",O5="",R5=""),"(incompletely spec'd)",CONCATENATE(Q5," ",L5," ",N5," ",O5," ",R5))</f>
        <v>S 102 A 051 -130</v>
      </c>
      <c r="J5" s="30" t="str">
        <f t="shared" ref="J5:J45" si="1">IF(OR(P5="",L5="",N5="",O5="",R5=""),"(incompletely spec'd)",CONCATENATE(P5," ",L5," ",N5," ",O5," ",R5))</f>
        <v>DEE 102 A 051 -130</v>
      </c>
      <c r="K5" s="31" t="str">
        <f t="shared" ref="K5:K45" si="2">IF(OR(W5="",L5="",Z5="",Z5="",AA5=""),"(incompletely spec'd)",CONCATENATE(W5," ",L5,".",X5,"/",Z5," ",AA5))</f>
        <v>E31 102.2/3.6 +B</v>
      </c>
      <c r="L5" s="1" t="str">
        <f t="shared" ref="L5:L25" si="3">"102"</f>
        <v>102</v>
      </c>
      <c r="M5" s="8"/>
      <c r="N5" s="1" t="s">
        <v>49</v>
      </c>
      <c r="O5" s="3" t="str">
        <f>"051"</f>
        <v>051</v>
      </c>
      <c r="P5" s="11" t="str">
        <f>"DEE"</f>
        <v>DEE</v>
      </c>
      <c r="Q5" s="1" t="s">
        <v>151</v>
      </c>
      <c r="R5" s="3" t="str">
        <f>"-130"</f>
        <v>-130</v>
      </c>
      <c r="S5" s="3" t="str">
        <f>"-130"</f>
        <v>-130</v>
      </c>
      <c r="T5" s="56" t="s">
        <v>103</v>
      </c>
      <c r="U5" s="49">
        <v>3</v>
      </c>
      <c r="V5" s="25" t="s">
        <v>104</v>
      </c>
      <c r="W5" s="3" t="str">
        <f>"E31"</f>
        <v>E31</v>
      </c>
      <c r="X5" s="3" t="str">
        <f>"2"</f>
        <v>2</v>
      </c>
      <c r="Y5" s="3">
        <v>3.2</v>
      </c>
      <c r="Z5" s="3">
        <v>3.6</v>
      </c>
      <c r="AA5" s="3" t="str">
        <f t="shared" ref="AA5:AA26" si="4">"+B"</f>
        <v>+B</v>
      </c>
    </row>
    <row r="6" spans="1:27" x14ac:dyDescent="0.25">
      <c r="A6" s="3">
        <v>2</v>
      </c>
      <c r="B6" s="3" t="s">
        <v>34</v>
      </c>
      <c r="C6" s="3" t="s">
        <v>8</v>
      </c>
      <c r="D6" s="3" t="s">
        <v>56</v>
      </c>
      <c r="E6" s="3">
        <v>1.5</v>
      </c>
      <c r="F6" s="3">
        <v>2</v>
      </c>
      <c r="G6" s="3">
        <v>3</v>
      </c>
      <c r="H6" s="12" t="s">
        <v>20</v>
      </c>
      <c r="I6" s="5" t="str">
        <f t="shared" si="0"/>
        <v>S 102 A 052 -130</v>
      </c>
      <c r="J6" s="4" t="str">
        <f t="shared" si="1"/>
        <v>DBPE 102 A 052 -130</v>
      </c>
      <c r="K6" s="6" t="str">
        <f t="shared" si="2"/>
        <v>E31 102.2/3.6 +B</v>
      </c>
      <c r="L6" s="1" t="str">
        <f t="shared" si="3"/>
        <v>102</v>
      </c>
      <c r="M6" s="8"/>
      <c r="N6" s="1" t="s">
        <v>49</v>
      </c>
      <c r="O6" s="3" t="str">
        <f>"052"</f>
        <v>052</v>
      </c>
      <c r="P6" s="12" t="str">
        <f>"DBPE"</f>
        <v>DBPE</v>
      </c>
      <c r="Q6" s="1" t="s">
        <v>151</v>
      </c>
      <c r="R6" s="3" t="str">
        <f t="shared" ref="R6:S45" si="5">"-130"</f>
        <v>-130</v>
      </c>
      <c r="S6" s="3" t="str">
        <f t="shared" si="5"/>
        <v>-130</v>
      </c>
      <c r="T6" s="56" t="s">
        <v>103</v>
      </c>
      <c r="U6" s="49">
        <v>3</v>
      </c>
      <c r="V6" s="25" t="s">
        <v>104</v>
      </c>
      <c r="W6" s="3" t="s">
        <v>75</v>
      </c>
      <c r="X6" s="3">
        <v>2</v>
      </c>
      <c r="Y6" s="3">
        <v>3.2</v>
      </c>
      <c r="Z6" s="3">
        <v>3.6</v>
      </c>
      <c r="AA6" s="3" t="str">
        <f t="shared" si="4"/>
        <v>+B</v>
      </c>
    </row>
    <row r="7" spans="1:27" x14ac:dyDescent="0.25">
      <c r="A7" s="3">
        <v>3</v>
      </c>
      <c r="B7" s="3" t="s">
        <v>105</v>
      </c>
      <c r="C7" s="3" t="s">
        <v>8</v>
      </c>
      <c r="D7" s="3" t="s">
        <v>56</v>
      </c>
      <c r="E7" s="3">
        <v>1.5</v>
      </c>
      <c r="F7" s="3">
        <v>2</v>
      </c>
      <c r="G7" s="3">
        <v>2</v>
      </c>
      <c r="H7" s="11" t="s">
        <v>5</v>
      </c>
      <c r="I7" s="5" t="str">
        <f t="shared" si="0"/>
        <v>S 102 A 051 -130</v>
      </c>
      <c r="J7" s="4" t="str">
        <f t="shared" si="1"/>
        <v>DEE 102 A 051 -130</v>
      </c>
      <c r="K7" s="6" t="str">
        <f t="shared" si="2"/>
        <v>E31 102.2/3.6 +B</v>
      </c>
      <c r="L7" s="1" t="str">
        <f t="shared" si="3"/>
        <v>102</v>
      </c>
      <c r="M7" s="8"/>
      <c r="N7" s="1" t="s">
        <v>49</v>
      </c>
      <c r="O7" s="3" t="str">
        <f>"051"</f>
        <v>051</v>
      </c>
      <c r="P7" s="11" t="str">
        <f>"DEE"</f>
        <v>DEE</v>
      </c>
      <c r="Q7" s="1" t="s">
        <v>151</v>
      </c>
      <c r="R7" s="3" t="str">
        <f t="shared" si="5"/>
        <v>-130</v>
      </c>
      <c r="S7" s="3" t="str">
        <f t="shared" si="5"/>
        <v>-130</v>
      </c>
      <c r="T7" s="56" t="s">
        <v>103</v>
      </c>
      <c r="U7" s="49">
        <v>3</v>
      </c>
      <c r="V7" s="25" t="s">
        <v>104</v>
      </c>
      <c r="W7" s="3" t="s">
        <v>75</v>
      </c>
      <c r="X7" s="3">
        <v>2</v>
      </c>
      <c r="Y7" s="3">
        <v>3.2</v>
      </c>
      <c r="Z7" s="3">
        <v>3.6</v>
      </c>
      <c r="AA7" s="3" t="str">
        <f t="shared" si="4"/>
        <v>+B</v>
      </c>
    </row>
    <row r="8" spans="1:27" x14ac:dyDescent="0.25">
      <c r="A8" s="3">
        <v>4</v>
      </c>
      <c r="B8" s="3" t="s">
        <v>22</v>
      </c>
      <c r="C8" s="3" t="s">
        <v>27</v>
      </c>
      <c r="D8" s="3" t="s">
        <v>57</v>
      </c>
      <c r="E8" s="3" t="s">
        <v>194</v>
      </c>
      <c r="F8" s="3">
        <v>2</v>
      </c>
      <c r="G8" s="3">
        <v>3</v>
      </c>
      <c r="H8" s="12" t="s">
        <v>26</v>
      </c>
      <c r="I8" s="5" t="str">
        <f t="shared" si="0"/>
        <v>S 102 A 052 -130</v>
      </c>
      <c r="J8" s="4" t="str">
        <f t="shared" si="1"/>
        <v>DBPE 102 A 052 -130</v>
      </c>
      <c r="K8" s="6" t="str">
        <f t="shared" si="2"/>
        <v>E31 102.2/4.1 +B</v>
      </c>
      <c r="L8" s="1" t="str">
        <f t="shared" si="3"/>
        <v>102</v>
      </c>
      <c r="M8" s="8"/>
      <c r="N8" s="1" t="s">
        <v>49</v>
      </c>
      <c r="O8" s="3" t="str">
        <f>"052"</f>
        <v>052</v>
      </c>
      <c r="P8" s="12" t="str">
        <f t="shared" ref="P8:P26" si="6">"DBPE"</f>
        <v>DBPE</v>
      </c>
      <c r="Q8" s="1" t="s">
        <v>151</v>
      </c>
      <c r="R8" s="3" t="str">
        <f t="shared" si="5"/>
        <v>-130</v>
      </c>
      <c r="S8" s="3" t="str">
        <f t="shared" si="5"/>
        <v>-130</v>
      </c>
      <c r="T8" s="3" t="s">
        <v>71</v>
      </c>
      <c r="U8" s="44">
        <v>5</v>
      </c>
      <c r="V8" s="14" t="s">
        <v>213</v>
      </c>
      <c r="W8" s="3" t="s">
        <v>75</v>
      </c>
      <c r="X8" s="3">
        <v>2</v>
      </c>
      <c r="Y8" s="3">
        <v>4</v>
      </c>
      <c r="Z8" s="3">
        <v>4.0999999999999996</v>
      </c>
      <c r="AA8" s="3" t="str">
        <f t="shared" si="4"/>
        <v>+B</v>
      </c>
    </row>
    <row r="9" spans="1:27" x14ac:dyDescent="0.25">
      <c r="A9" s="3">
        <v>5</v>
      </c>
      <c r="B9" s="3" t="s">
        <v>23</v>
      </c>
      <c r="C9" s="3" t="s">
        <v>27</v>
      </c>
      <c r="D9" s="3" t="s">
        <v>57</v>
      </c>
      <c r="E9" s="3" t="s">
        <v>194</v>
      </c>
      <c r="F9" s="3">
        <v>2</v>
      </c>
      <c r="G9" s="3">
        <v>3</v>
      </c>
      <c r="H9" s="12" t="s">
        <v>26</v>
      </c>
      <c r="I9" s="5" t="str">
        <f t="shared" si="0"/>
        <v>S 102 A 052 -130</v>
      </c>
      <c r="J9" s="4" t="str">
        <f t="shared" si="1"/>
        <v>DBPE 102 A 052 -130</v>
      </c>
      <c r="K9" s="6" t="str">
        <f t="shared" si="2"/>
        <v>E31 102.2/4.1 +B</v>
      </c>
      <c r="L9" s="1" t="str">
        <f t="shared" si="3"/>
        <v>102</v>
      </c>
      <c r="M9" s="8"/>
      <c r="N9" s="1" t="s">
        <v>49</v>
      </c>
      <c r="O9" s="3" t="str">
        <f t="shared" ref="O9:O11" si="7">"052"</f>
        <v>052</v>
      </c>
      <c r="P9" s="12" t="str">
        <f t="shared" si="6"/>
        <v>DBPE</v>
      </c>
      <c r="Q9" s="1" t="s">
        <v>151</v>
      </c>
      <c r="R9" s="3" t="str">
        <f t="shared" si="5"/>
        <v>-130</v>
      </c>
      <c r="S9" s="3" t="str">
        <f t="shared" si="5"/>
        <v>-130</v>
      </c>
      <c r="T9" s="3" t="s">
        <v>71</v>
      </c>
      <c r="U9" s="44">
        <v>5</v>
      </c>
      <c r="V9" s="14" t="s">
        <v>213</v>
      </c>
      <c r="W9" s="3" t="s">
        <v>75</v>
      </c>
      <c r="X9" s="3">
        <v>2</v>
      </c>
      <c r="Y9" s="3">
        <v>4</v>
      </c>
      <c r="Z9" s="3">
        <v>4.0999999999999996</v>
      </c>
      <c r="AA9" s="3" t="str">
        <f t="shared" si="4"/>
        <v>+B</v>
      </c>
    </row>
    <row r="10" spans="1:27" x14ac:dyDescent="0.25">
      <c r="A10" s="3">
        <v>6</v>
      </c>
      <c r="B10" s="3" t="s">
        <v>24</v>
      </c>
      <c r="C10" s="3" t="s">
        <v>27</v>
      </c>
      <c r="D10" s="3" t="s">
        <v>57</v>
      </c>
      <c r="E10" s="3" t="s">
        <v>194</v>
      </c>
      <c r="F10" s="3">
        <v>2</v>
      </c>
      <c r="G10" s="3">
        <v>3</v>
      </c>
      <c r="H10" s="12" t="s">
        <v>26</v>
      </c>
      <c r="I10" s="5" t="str">
        <f t="shared" si="0"/>
        <v>S 102 A 052 -130</v>
      </c>
      <c r="J10" s="4" t="str">
        <f t="shared" si="1"/>
        <v>DBPE 102 A 052 -130</v>
      </c>
      <c r="K10" s="6" t="str">
        <f t="shared" si="2"/>
        <v>E31 102.2/4.1 +B</v>
      </c>
      <c r="L10" s="1" t="str">
        <f t="shared" si="3"/>
        <v>102</v>
      </c>
      <c r="M10" s="8"/>
      <c r="N10" s="1" t="s">
        <v>49</v>
      </c>
      <c r="O10" s="3" t="str">
        <f t="shared" si="7"/>
        <v>052</v>
      </c>
      <c r="P10" s="12" t="str">
        <f t="shared" si="6"/>
        <v>DBPE</v>
      </c>
      <c r="Q10" s="1" t="s">
        <v>151</v>
      </c>
      <c r="R10" s="3" t="str">
        <f t="shared" si="5"/>
        <v>-130</v>
      </c>
      <c r="S10" s="3" t="str">
        <f t="shared" si="5"/>
        <v>-130</v>
      </c>
      <c r="T10" s="3" t="s">
        <v>71</v>
      </c>
      <c r="U10" s="44">
        <v>5</v>
      </c>
      <c r="V10" s="14" t="s">
        <v>213</v>
      </c>
      <c r="W10" s="3" t="s">
        <v>75</v>
      </c>
      <c r="X10" s="3">
        <v>2</v>
      </c>
      <c r="Y10" s="3">
        <v>4</v>
      </c>
      <c r="Z10" s="3">
        <v>4.0999999999999996</v>
      </c>
      <c r="AA10" s="3" t="str">
        <f t="shared" ref="AA10:AA25" si="8">"+B"</f>
        <v>+B</v>
      </c>
    </row>
    <row r="11" spans="1:27" x14ac:dyDescent="0.25">
      <c r="A11" s="3">
        <v>7</v>
      </c>
      <c r="B11" s="3" t="s">
        <v>61</v>
      </c>
      <c r="C11" s="3" t="s">
        <v>27</v>
      </c>
      <c r="D11" s="3" t="s">
        <v>57</v>
      </c>
      <c r="E11" s="3" t="s">
        <v>194</v>
      </c>
      <c r="F11" s="3">
        <v>2</v>
      </c>
      <c r="G11" s="3">
        <v>3</v>
      </c>
      <c r="H11" s="13" t="s">
        <v>36</v>
      </c>
      <c r="I11" s="5" t="str">
        <f t="shared" si="0"/>
        <v>S 102 A 052 -130</v>
      </c>
      <c r="J11" s="4" t="str">
        <f t="shared" si="1"/>
        <v>DKBE 102 A 052 -130</v>
      </c>
      <c r="K11" s="6" t="str">
        <f t="shared" si="2"/>
        <v>E31 102.2/4.1 +B</v>
      </c>
      <c r="L11" s="1" t="str">
        <f t="shared" si="3"/>
        <v>102</v>
      </c>
      <c r="M11" s="8"/>
      <c r="N11" s="1" t="s">
        <v>49</v>
      </c>
      <c r="O11" s="3" t="str">
        <f t="shared" si="7"/>
        <v>052</v>
      </c>
      <c r="P11" s="13" t="s">
        <v>51</v>
      </c>
      <c r="Q11" s="1" t="s">
        <v>151</v>
      </c>
      <c r="R11" s="3" t="str">
        <f t="shared" si="5"/>
        <v>-130</v>
      </c>
      <c r="S11" s="3" t="str">
        <f t="shared" si="5"/>
        <v>-130</v>
      </c>
      <c r="T11" s="3" t="s">
        <v>71</v>
      </c>
      <c r="U11" s="44">
        <v>5</v>
      </c>
      <c r="V11" s="14" t="s">
        <v>213</v>
      </c>
      <c r="W11" s="3" t="s">
        <v>75</v>
      </c>
      <c r="X11" s="3">
        <v>2</v>
      </c>
      <c r="Y11" s="3">
        <v>4</v>
      </c>
      <c r="Z11" s="3">
        <v>4.0999999999999996</v>
      </c>
      <c r="AA11" s="3" t="str">
        <f t="shared" si="8"/>
        <v>+B</v>
      </c>
    </row>
    <row r="12" spans="1:27" x14ac:dyDescent="0.25">
      <c r="A12" s="3">
        <v>8</v>
      </c>
      <c r="B12" s="3" t="s">
        <v>60</v>
      </c>
      <c r="C12" s="3" t="s">
        <v>32</v>
      </c>
      <c r="D12" s="3" t="s">
        <v>56</v>
      </c>
      <c r="E12" s="3" t="s">
        <v>196</v>
      </c>
      <c r="F12" s="3">
        <v>5</v>
      </c>
      <c r="G12" s="3">
        <v>7</v>
      </c>
      <c r="H12" s="12" t="s">
        <v>20</v>
      </c>
      <c r="I12" s="5" t="str">
        <f t="shared" si="0"/>
        <v>S 102 A 056 -130</v>
      </c>
      <c r="J12" s="4" t="str">
        <f t="shared" si="1"/>
        <v>DBPE 102 A 056 -130</v>
      </c>
      <c r="K12" s="6" t="str">
        <f t="shared" si="2"/>
        <v>E31 102.2/3.6 +B</v>
      </c>
      <c r="L12" s="1" t="str">
        <f t="shared" si="3"/>
        <v>102</v>
      </c>
      <c r="M12" s="8"/>
      <c r="N12" s="1" t="s">
        <v>49</v>
      </c>
      <c r="O12" s="3" t="str">
        <f>"056"</f>
        <v>056</v>
      </c>
      <c r="P12" s="12" t="str">
        <f>"DBPE"</f>
        <v>DBPE</v>
      </c>
      <c r="Q12" s="1" t="s">
        <v>151</v>
      </c>
      <c r="R12" s="3" t="str">
        <f t="shared" si="5"/>
        <v>-130</v>
      </c>
      <c r="S12" s="3" t="str">
        <f t="shared" si="5"/>
        <v>-130</v>
      </c>
      <c r="T12" s="3" t="s">
        <v>70</v>
      </c>
      <c r="U12" s="47">
        <v>8</v>
      </c>
      <c r="V12" s="14" t="s">
        <v>79</v>
      </c>
      <c r="W12" s="3" t="s">
        <v>75</v>
      </c>
      <c r="X12" s="3">
        <v>2</v>
      </c>
      <c r="Y12" s="3">
        <v>3.3</v>
      </c>
      <c r="Z12" s="3">
        <v>3.6</v>
      </c>
      <c r="AA12" s="3" t="str">
        <f t="shared" si="8"/>
        <v>+B</v>
      </c>
    </row>
    <row r="13" spans="1:27" x14ac:dyDescent="0.25">
      <c r="A13" s="3">
        <v>9</v>
      </c>
      <c r="B13" s="3" t="s">
        <v>30</v>
      </c>
      <c r="C13" s="3" t="s">
        <v>32</v>
      </c>
      <c r="D13" s="3" t="s">
        <v>56</v>
      </c>
      <c r="E13" s="3" t="s">
        <v>196</v>
      </c>
      <c r="F13" s="3">
        <v>6</v>
      </c>
      <c r="G13" s="3">
        <v>7</v>
      </c>
      <c r="H13" s="11" t="s">
        <v>5</v>
      </c>
      <c r="I13" s="5" t="str">
        <f t="shared" si="0"/>
        <v>S 102 A 056 -130</v>
      </c>
      <c r="J13" s="4" t="str">
        <f t="shared" si="1"/>
        <v>DEE 102 A 056 -130</v>
      </c>
      <c r="K13" s="6" t="str">
        <f t="shared" si="2"/>
        <v>E31 102.2/3.6 +B</v>
      </c>
      <c r="L13" s="1" t="str">
        <f t="shared" si="3"/>
        <v>102</v>
      </c>
      <c r="M13" s="8"/>
      <c r="N13" s="1" t="s">
        <v>49</v>
      </c>
      <c r="O13" s="3" t="str">
        <f t="shared" ref="O13:O14" si="9">"056"</f>
        <v>056</v>
      </c>
      <c r="P13" s="11" t="str">
        <f>"DEE"</f>
        <v>DEE</v>
      </c>
      <c r="Q13" s="1" t="s">
        <v>151</v>
      </c>
      <c r="R13" s="3" t="str">
        <f t="shared" si="5"/>
        <v>-130</v>
      </c>
      <c r="S13" s="3" t="str">
        <f t="shared" si="5"/>
        <v>-130</v>
      </c>
      <c r="T13" s="3" t="s">
        <v>70</v>
      </c>
      <c r="U13" s="47">
        <v>8</v>
      </c>
      <c r="V13" s="14" t="s">
        <v>79</v>
      </c>
      <c r="W13" s="3" t="s">
        <v>75</v>
      </c>
      <c r="X13" s="3">
        <v>2</v>
      </c>
      <c r="Y13" s="3">
        <v>3.3</v>
      </c>
      <c r="Z13" s="3">
        <v>3.6</v>
      </c>
      <c r="AA13" s="3" t="str">
        <f t="shared" si="8"/>
        <v>+B</v>
      </c>
    </row>
    <row r="14" spans="1:27" x14ac:dyDescent="0.25">
      <c r="A14" s="3">
        <v>10</v>
      </c>
      <c r="B14" s="3" t="s">
        <v>33</v>
      </c>
      <c r="C14" s="3" t="s">
        <v>32</v>
      </c>
      <c r="D14" s="3" t="s">
        <v>56</v>
      </c>
      <c r="E14" s="3" t="s">
        <v>196</v>
      </c>
      <c r="F14" s="3">
        <v>4</v>
      </c>
      <c r="G14" s="3">
        <v>7</v>
      </c>
      <c r="H14" s="11" t="s">
        <v>5</v>
      </c>
      <c r="I14" s="5" t="str">
        <f t="shared" si="0"/>
        <v>S 102 A 056 -130</v>
      </c>
      <c r="J14" s="4" t="str">
        <f t="shared" si="1"/>
        <v>DEE 102 A 056 -130</v>
      </c>
      <c r="K14" s="6" t="str">
        <f t="shared" si="2"/>
        <v>E31 102.2/3.6 +B</v>
      </c>
      <c r="L14" s="1" t="str">
        <f t="shared" si="3"/>
        <v>102</v>
      </c>
      <c r="M14" s="8"/>
      <c r="N14" s="1" t="s">
        <v>49</v>
      </c>
      <c r="O14" s="3" t="str">
        <f t="shared" si="9"/>
        <v>056</v>
      </c>
      <c r="P14" s="11" t="str">
        <f t="shared" ref="P14:P15" si="10">"DEE"</f>
        <v>DEE</v>
      </c>
      <c r="Q14" s="1" t="s">
        <v>151</v>
      </c>
      <c r="R14" s="3" t="str">
        <f t="shared" si="5"/>
        <v>-130</v>
      </c>
      <c r="S14" s="3" t="str">
        <f t="shared" si="5"/>
        <v>-130</v>
      </c>
      <c r="T14" s="3" t="s">
        <v>70</v>
      </c>
      <c r="U14" s="47">
        <v>8</v>
      </c>
      <c r="V14" s="14" t="s">
        <v>79</v>
      </c>
      <c r="W14" s="3" t="s">
        <v>75</v>
      </c>
      <c r="X14" s="3">
        <v>2</v>
      </c>
      <c r="Y14" s="3">
        <v>3.3</v>
      </c>
      <c r="Z14" s="3">
        <v>3.6</v>
      </c>
      <c r="AA14" s="3" t="str">
        <f t="shared" si="8"/>
        <v>+B</v>
      </c>
    </row>
    <row r="15" spans="1:27" x14ac:dyDescent="0.25">
      <c r="A15" s="3">
        <v>11</v>
      </c>
      <c r="B15" s="3" t="s">
        <v>166</v>
      </c>
      <c r="C15" s="3" t="s">
        <v>29</v>
      </c>
      <c r="D15" s="3" t="s">
        <v>56</v>
      </c>
      <c r="E15" s="3">
        <v>3</v>
      </c>
      <c r="F15" s="3">
        <v>4</v>
      </c>
      <c r="G15" s="3">
        <v>5</v>
      </c>
      <c r="H15" s="11" t="s">
        <v>5</v>
      </c>
      <c r="I15" s="5" t="str">
        <f t="shared" si="0"/>
        <v>S 102 A 054 -130</v>
      </c>
      <c r="J15" s="4" t="str">
        <f t="shared" si="1"/>
        <v>DEE 102 A 054 -130</v>
      </c>
      <c r="K15" s="6" t="str">
        <f t="shared" si="2"/>
        <v>E31 102.2/4.1 +B</v>
      </c>
      <c r="L15" s="1" t="str">
        <f t="shared" si="3"/>
        <v>102</v>
      </c>
      <c r="M15" s="8"/>
      <c r="N15" s="1" t="s">
        <v>49</v>
      </c>
      <c r="O15" s="3" t="str">
        <f>"054"</f>
        <v>054</v>
      </c>
      <c r="P15" s="11" t="str">
        <f t="shared" si="10"/>
        <v>DEE</v>
      </c>
      <c r="Q15" s="1" t="s">
        <v>151</v>
      </c>
      <c r="R15" s="3" t="str">
        <f t="shared" si="5"/>
        <v>-130</v>
      </c>
      <c r="S15" s="3" t="str">
        <f t="shared" si="5"/>
        <v>-130</v>
      </c>
      <c r="T15" s="56" t="s">
        <v>54</v>
      </c>
      <c r="U15" s="28">
        <v>4</v>
      </c>
      <c r="V15" s="14" t="s">
        <v>214</v>
      </c>
      <c r="W15" s="3" t="s">
        <v>75</v>
      </c>
      <c r="X15" s="3">
        <v>2</v>
      </c>
      <c r="Y15" s="3">
        <v>4.0999999999999996</v>
      </c>
      <c r="Z15" s="3">
        <v>4.0999999999999996</v>
      </c>
      <c r="AA15" s="3" t="str">
        <f t="shared" si="8"/>
        <v>+B</v>
      </c>
    </row>
    <row r="16" spans="1:27" x14ac:dyDescent="0.25">
      <c r="A16" s="3">
        <v>12</v>
      </c>
      <c r="B16" s="3" t="s">
        <v>167</v>
      </c>
      <c r="C16" s="3" t="s">
        <v>29</v>
      </c>
      <c r="D16" s="3" t="s">
        <v>56</v>
      </c>
      <c r="E16" s="3">
        <v>3</v>
      </c>
      <c r="F16" s="3">
        <v>4</v>
      </c>
      <c r="G16" s="3">
        <v>5</v>
      </c>
      <c r="H16" s="12" t="s">
        <v>20</v>
      </c>
      <c r="I16" s="5" t="str">
        <f t="shared" si="0"/>
        <v>S 102 A 054 -130</v>
      </c>
      <c r="J16" s="4" t="str">
        <f t="shared" si="1"/>
        <v>DBPE 102 A 054 -130</v>
      </c>
      <c r="K16" s="6" t="str">
        <f t="shared" si="2"/>
        <v>E31 102.2/4.1 +B</v>
      </c>
      <c r="L16" s="1" t="str">
        <f t="shared" si="3"/>
        <v>102</v>
      </c>
      <c r="M16" s="8"/>
      <c r="N16" s="1" t="s">
        <v>49</v>
      </c>
      <c r="O16" s="3" t="str">
        <f t="shared" ref="O16:O18" si="11">"054"</f>
        <v>054</v>
      </c>
      <c r="P16" s="12" t="str">
        <f>"DBPE"</f>
        <v>DBPE</v>
      </c>
      <c r="Q16" s="1" t="s">
        <v>151</v>
      </c>
      <c r="R16" s="3" t="str">
        <f t="shared" si="5"/>
        <v>-130</v>
      </c>
      <c r="S16" s="3" t="str">
        <f t="shared" si="5"/>
        <v>-130</v>
      </c>
      <c r="T16" s="56" t="s">
        <v>54</v>
      </c>
      <c r="U16" s="28">
        <v>4</v>
      </c>
      <c r="V16" s="14" t="s">
        <v>214</v>
      </c>
      <c r="W16" s="3" t="s">
        <v>75</v>
      </c>
      <c r="X16" s="3">
        <v>2</v>
      </c>
      <c r="Y16" s="3">
        <v>4.0999999999999996</v>
      </c>
      <c r="Z16" s="3">
        <v>4.0999999999999996</v>
      </c>
      <c r="AA16" s="3" t="str">
        <f t="shared" si="8"/>
        <v>+B</v>
      </c>
    </row>
    <row r="17" spans="1:27" x14ac:dyDescent="0.25">
      <c r="A17" s="3">
        <v>13</v>
      </c>
      <c r="B17" s="3" t="s">
        <v>168</v>
      </c>
      <c r="C17" s="3" t="s">
        <v>29</v>
      </c>
      <c r="D17" s="3" t="s">
        <v>56</v>
      </c>
      <c r="E17" s="3">
        <v>3</v>
      </c>
      <c r="F17" s="3">
        <v>4</v>
      </c>
      <c r="G17" s="3">
        <v>5</v>
      </c>
      <c r="H17" s="12" t="s">
        <v>26</v>
      </c>
      <c r="I17" s="5" t="str">
        <f t="shared" si="0"/>
        <v>S 102 A 054 -130</v>
      </c>
      <c r="J17" s="4" t="str">
        <f t="shared" si="1"/>
        <v>DBPE 102 A 054 -130</v>
      </c>
      <c r="K17" s="6" t="str">
        <f t="shared" si="2"/>
        <v>E31 102.2/4.1 +B</v>
      </c>
      <c r="L17" s="1" t="str">
        <f t="shared" si="3"/>
        <v>102</v>
      </c>
      <c r="M17" s="8"/>
      <c r="N17" s="1" t="s">
        <v>49</v>
      </c>
      <c r="O17" s="3" t="str">
        <f t="shared" si="11"/>
        <v>054</v>
      </c>
      <c r="P17" s="12" t="str">
        <f>"DBPE"</f>
        <v>DBPE</v>
      </c>
      <c r="Q17" s="1" t="s">
        <v>151</v>
      </c>
      <c r="R17" s="3" t="str">
        <f t="shared" si="5"/>
        <v>-130</v>
      </c>
      <c r="S17" s="3" t="str">
        <f t="shared" si="5"/>
        <v>-130</v>
      </c>
      <c r="T17" s="56" t="s">
        <v>54</v>
      </c>
      <c r="U17" s="28">
        <v>4</v>
      </c>
      <c r="V17" s="14" t="s">
        <v>214</v>
      </c>
      <c r="W17" s="3" t="s">
        <v>75</v>
      </c>
      <c r="X17" s="3">
        <v>2</v>
      </c>
      <c r="Y17" s="3">
        <v>4.0999999999999996</v>
      </c>
      <c r="Z17" s="3">
        <v>4.0999999999999996</v>
      </c>
      <c r="AA17" s="3" t="str">
        <f t="shared" si="8"/>
        <v>+B</v>
      </c>
    </row>
    <row r="18" spans="1:27" x14ac:dyDescent="0.25">
      <c r="A18" s="3">
        <v>14</v>
      </c>
      <c r="B18" s="3" t="s">
        <v>169</v>
      </c>
      <c r="C18" s="3" t="s">
        <v>29</v>
      </c>
      <c r="D18" s="3" t="s">
        <v>56</v>
      </c>
      <c r="E18" s="3">
        <v>3</v>
      </c>
      <c r="F18" s="3">
        <v>4</v>
      </c>
      <c r="G18" s="3">
        <v>5</v>
      </c>
      <c r="H18" s="11" t="s">
        <v>5</v>
      </c>
      <c r="I18" s="5" t="str">
        <f t="shared" si="0"/>
        <v>S 102 A 054 -130</v>
      </c>
      <c r="J18" s="4" t="str">
        <f t="shared" si="1"/>
        <v>DEE 102 A 054 -130</v>
      </c>
      <c r="K18" s="6" t="str">
        <f t="shared" si="2"/>
        <v>E31 102.2/4.1 +B</v>
      </c>
      <c r="L18" s="1" t="str">
        <f t="shared" si="3"/>
        <v>102</v>
      </c>
      <c r="M18" s="8"/>
      <c r="N18" s="1" t="s">
        <v>49</v>
      </c>
      <c r="O18" s="3" t="str">
        <f t="shared" si="11"/>
        <v>054</v>
      </c>
      <c r="P18" s="11" t="str">
        <f t="shared" ref="P18:P25" si="12">"DEE"</f>
        <v>DEE</v>
      </c>
      <c r="Q18" s="1" t="s">
        <v>151</v>
      </c>
      <c r="R18" s="3" t="str">
        <f t="shared" si="5"/>
        <v>-130</v>
      </c>
      <c r="S18" s="3" t="str">
        <f t="shared" si="5"/>
        <v>-130</v>
      </c>
      <c r="T18" s="56" t="s">
        <v>54</v>
      </c>
      <c r="U18" s="28">
        <v>4</v>
      </c>
      <c r="V18" s="14" t="s">
        <v>214</v>
      </c>
      <c r="W18" s="3" t="s">
        <v>75</v>
      </c>
      <c r="X18" s="3">
        <v>2</v>
      </c>
      <c r="Y18" s="3">
        <v>4.0999999999999996</v>
      </c>
      <c r="Z18" s="3">
        <v>4.0999999999999996</v>
      </c>
      <c r="AA18" s="3" t="str">
        <f t="shared" si="8"/>
        <v>+B</v>
      </c>
    </row>
    <row r="19" spans="1:27" x14ac:dyDescent="0.25">
      <c r="A19" s="3">
        <v>15</v>
      </c>
      <c r="B19" s="3" t="s">
        <v>62</v>
      </c>
      <c r="C19" s="3" t="s">
        <v>31</v>
      </c>
      <c r="D19" s="3" t="s">
        <v>57</v>
      </c>
      <c r="E19" s="3">
        <v>0.5</v>
      </c>
      <c r="F19" s="3">
        <v>4</v>
      </c>
      <c r="G19" s="3">
        <v>4</v>
      </c>
      <c r="H19" s="12" t="s">
        <v>20</v>
      </c>
      <c r="I19" s="5" t="str">
        <f t="shared" si="0"/>
        <v>S 102 A 053 -130</v>
      </c>
      <c r="J19" s="4" t="str">
        <f t="shared" si="1"/>
        <v>DBPE 102 A 053 -130</v>
      </c>
      <c r="K19" s="6" t="str">
        <f t="shared" si="2"/>
        <v>E31 102.2/4.1 +B</v>
      </c>
      <c r="L19" s="1" t="str">
        <f t="shared" si="3"/>
        <v>102</v>
      </c>
      <c r="M19" s="8"/>
      <c r="N19" s="1" t="s">
        <v>49</v>
      </c>
      <c r="O19" s="3" t="str">
        <f t="shared" ref="O19:O21" si="13">"053"</f>
        <v>053</v>
      </c>
      <c r="P19" s="12" t="str">
        <f t="shared" ref="P19:P22" si="14">"DBPE"</f>
        <v>DBPE</v>
      </c>
      <c r="Q19" s="1" t="s">
        <v>151</v>
      </c>
      <c r="R19" s="3" t="str">
        <f t="shared" si="5"/>
        <v>-130</v>
      </c>
      <c r="S19" s="3" t="str">
        <f t="shared" si="5"/>
        <v>-130</v>
      </c>
      <c r="T19" s="56" t="s">
        <v>72</v>
      </c>
      <c r="U19" s="52">
        <v>10</v>
      </c>
      <c r="V19" s="25" t="s">
        <v>73</v>
      </c>
      <c r="W19" s="3" t="s">
        <v>75</v>
      </c>
      <c r="X19" s="3">
        <v>2</v>
      </c>
      <c r="Y19" s="3">
        <v>4</v>
      </c>
      <c r="Z19" s="3">
        <v>4.0999999999999996</v>
      </c>
      <c r="AA19" s="3" t="str">
        <f t="shared" si="8"/>
        <v>+B</v>
      </c>
    </row>
    <row r="20" spans="1:27" x14ac:dyDescent="0.25">
      <c r="A20" s="3">
        <v>16</v>
      </c>
      <c r="B20" s="3" t="s">
        <v>63</v>
      </c>
      <c r="C20" s="3" t="s">
        <v>31</v>
      </c>
      <c r="D20" s="3" t="s">
        <v>57</v>
      </c>
      <c r="E20" s="3">
        <v>0.5</v>
      </c>
      <c r="F20" s="3">
        <v>4</v>
      </c>
      <c r="G20" s="3">
        <v>4</v>
      </c>
      <c r="H20" s="12" t="s">
        <v>26</v>
      </c>
      <c r="I20" s="5" t="str">
        <f t="shared" si="0"/>
        <v>S 102 A 053 -130</v>
      </c>
      <c r="J20" s="4" t="str">
        <f t="shared" si="1"/>
        <v>DBPE 102 A 053 -130</v>
      </c>
      <c r="K20" s="6" t="str">
        <f t="shared" si="2"/>
        <v>E31 102.2/4.1 +B</v>
      </c>
      <c r="L20" s="1" t="str">
        <f t="shared" si="3"/>
        <v>102</v>
      </c>
      <c r="M20" s="8"/>
      <c r="N20" s="1" t="s">
        <v>49</v>
      </c>
      <c r="O20" s="3" t="str">
        <f t="shared" si="13"/>
        <v>053</v>
      </c>
      <c r="P20" s="12" t="str">
        <f t="shared" si="14"/>
        <v>DBPE</v>
      </c>
      <c r="Q20" s="1" t="s">
        <v>151</v>
      </c>
      <c r="R20" s="3" t="str">
        <f t="shared" si="5"/>
        <v>-130</v>
      </c>
      <c r="S20" s="3" t="str">
        <f t="shared" si="5"/>
        <v>-130</v>
      </c>
      <c r="T20" s="56" t="s">
        <v>72</v>
      </c>
      <c r="U20" s="52">
        <v>10</v>
      </c>
      <c r="V20" s="25" t="s">
        <v>73</v>
      </c>
      <c r="W20" s="3" t="s">
        <v>75</v>
      </c>
      <c r="X20" s="3">
        <v>2</v>
      </c>
      <c r="Y20" s="3">
        <v>4</v>
      </c>
      <c r="Z20" s="3">
        <v>4.0999999999999996</v>
      </c>
      <c r="AA20" s="3" t="str">
        <f t="shared" si="8"/>
        <v>+B</v>
      </c>
    </row>
    <row r="21" spans="1:27" x14ac:dyDescent="0.25">
      <c r="A21" s="3">
        <v>17</v>
      </c>
      <c r="B21" s="3" t="s">
        <v>64</v>
      </c>
      <c r="C21" s="3" t="s">
        <v>31</v>
      </c>
      <c r="D21" s="3" t="s">
        <v>57</v>
      </c>
      <c r="E21" s="3">
        <v>0.5</v>
      </c>
      <c r="F21" s="3">
        <v>4</v>
      </c>
      <c r="G21" s="3">
        <v>4</v>
      </c>
      <c r="H21" s="12" t="s">
        <v>26</v>
      </c>
      <c r="I21" s="5" t="str">
        <f t="shared" si="0"/>
        <v>S 102 A 053 -130</v>
      </c>
      <c r="J21" s="4" t="str">
        <f t="shared" si="1"/>
        <v>DBPE 102 A 053 -130</v>
      </c>
      <c r="K21" s="6" t="str">
        <f t="shared" si="2"/>
        <v>E31 102.2/4.1 +B</v>
      </c>
      <c r="L21" s="1" t="str">
        <f t="shared" si="3"/>
        <v>102</v>
      </c>
      <c r="M21" s="8"/>
      <c r="N21" s="1" t="s">
        <v>49</v>
      </c>
      <c r="O21" s="3" t="str">
        <f t="shared" si="13"/>
        <v>053</v>
      </c>
      <c r="P21" s="12" t="str">
        <f t="shared" si="14"/>
        <v>DBPE</v>
      </c>
      <c r="Q21" s="1" t="s">
        <v>151</v>
      </c>
      <c r="R21" s="3" t="str">
        <f t="shared" si="5"/>
        <v>-130</v>
      </c>
      <c r="S21" s="3" t="str">
        <f t="shared" si="5"/>
        <v>-130</v>
      </c>
      <c r="T21" s="56" t="s">
        <v>72</v>
      </c>
      <c r="U21" s="52">
        <v>10</v>
      </c>
      <c r="V21" s="25" t="s">
        <v>73</v>
      </c>
      <c r="W21" s="3" t="s">
        <v>75</v>
      </c>
      <c r="X21" s="3">
        <v>2</v>
      </c>
      <c r="Y21" s="3">
        <v>4</v>
      </c>
      <c r="Z21" s="3">
        <v>4.0999999999999996</v>
      </c>
      <c r="AA21" s="3" t="str">
        <f t="shared" si="8"/>
        <v>+B</v>
      </c>
    </row>
    <row r="22" spans="1:27" x14ac:dyDescent="0.25">
      <c r="A22" s="3">
        <v>18</v>
      </c>
      <c r="B22" s="3" t="s">
        <v>110</v>
      </c>
      <c r="C22" s="3" t="s">
        <v>31</v>
      </c>
      <c r="D22" s="3" t="s">
        <v>57</v>
      </c>
      <c r="E22" s="3">
        <v>0.5</v>
      </c>
      <c r="F22" s="3">
        <v>4</v>
      </c>
      <c r="G22" s="3">
        <v>4</v>
      </c>
      <c r="H22" s="12" t="s">
        <v>26</v>
      </c>
      <c r="I22" s="5" t="str">
        <f t="shared" si="0"/>
        <v>S 102 A 053 -130</v>
      </c>
      <c r="J22" s="4" t="str">
        <f t="shared" si="1"/>
        <v>DBPE 102 A 053 -130</v>
      </c>
      <c r="K22" s="6" t="str">
        <f t="shared" si="2"/>
        <v>E31 102.2/4.1 +B</v>
      </c>
      <c r="L22" s="1" t="str">
        <f t="shared" si="3"/>
        <v>102</v>
      </c>
      <c r="M22" s="8"/>
      <c r="N22" s="1" t="s">
        <v>49</v>
      </c>
      <c r="O22" s="3" t="str">
        <f>"053"</f>
        <v>053</v>
      </c>
      <c r="P22" s="12" t="str">
        <f t="shared" si="14"/>
        <v>DBPE</v>
      </c>
      <c r="Q22" s="1" t="s">
        <v>151</v>
      </c>
      <c r="R22" s="3" t="str">
        <f t="shared" si="5"/>
        <v>-130</v>
      </c>
      <c r="S22" s="3" t="str">
        <f t="shared" si="5"/>
        <v>-130</v>
      </c>
      <c r="T22" s="56" t="s">
        <v>72</v>
      </c>
      <c r="U22" s="52">
        <v>10</v>
      </c>
      <c r="V22" s="25" t="s">
        <v>73</v>
      </c>
      <c r="W22" s="3" t="s">
        <v>75</v>
      </c>
      <c r="X22" s="3">
        <v>2</v>
      </c>
      <c r="Y22" s="3">
        <v>4</v>
      </c>
      <c r="Z22" s="3">
        <v>4.0999999999999996</v>
      </c>
      <c r="AA22" s="3" t="str">
        <f t="shared" si="8"/>
        <v>+B</v>
      </c>
    </row>
    <row r="23" spans="1:27" x14ac:dyDescent="0.25">
      <c r="A23" s="3">
        <v>19</v>
      </c>
      <c r="B23" s="3" t="s">
        <v>111</v>
      </c>
      <c r="C23" s="3" t="s">
        <v>31</v>
      </c>
      <c r="D23" s="3" t="s">
        <v>57</v>
      </c>
      <c r="E23" s="3">
        <v>0.5</v>
      </c>
      <c r="F23" s="3">
        <v>4</v>
      </c>
      <c r="G23" s="3">
        <v>4</v>
      </c>
      <c r="H23" s="11" t="s">
        <v>5</v>
      </c>
      <c r="I23" s="5" t="str">
        <f t="shared" si="0"/>
        <v>S 102 A 053 -130</v>
      </c>
      <c r="J23" s="4" t="str">
        <f t="shared" si="1"/>
        <v>DEE 102 A 053 -130</v>
      </c>
      <c r="K23" s="6" t="str">
        <f t="shared" si="2"/>
        <v>E31 102.2/4.1 +B</v>
      </c>
      <c r="L23" s="1" t="str">
        <f t="shared" si="3"/>
        <v>102</v>
      </c>
      <c r="M23" s="8"/>
      <c r="N23" s="3" t="s">
        <v>49</v>
      </c>
      <c r="O23" s="3" t="str">
        <f t="shared" ref="O23:O25" si="15">"053"</f>
        <v>053</v>
      </c>
      <c r="P23" s="11" t="str">
        <f t="shared" si="12"/>
        <v>DEE</v>
      </c>
      <c r="Q23" s="1" t="s">
        <v>151</v>
      </c>
      <c r="R23" s="3" t="str">
        <f t="shared" si="5"/>
        <v>-130</v>
      </c>
      <c r="S23" s="3" t="str">
        <f t="shared" si="5"/>
        <v>-130</v>
      </c>
      <c r="T23" s="56" t="s">
        <v>72</v>
      </c>
      <c r="U23" s="52">
        <v>10</v>
      </c>
      <c r="V23" s="25" t="s">
        <v>73</v>
      </c>
      <c r="W23" s="3" t="s">
        <v>75</v>
      </c>
      <c r="X23" s="3">
        <v>2</v>
      </c>
      <c r="Y23" s="3">
        <v>4</v>
      </c>
      <c r="Z23" s="3">
        <v>4.0999999999999996</v>
      </c>
      <c r="AA23" s="3" t="str">
        <f t="shared" si="8"/>
        <v>+B</v>
      </c>
    </row>
    <row r="24" spans="1:27" x14ac:dyDescent="0.25">
      <c r="A24" s="3">
        <v>20</v>
      </c>
      <c r="B24" s="3" t="s">
        <v>112</v>
      </c>
      <c r="C24" s="3" t="s">
        <v>31</v>
      </c>
      <c r="D24" s="3" t="s">
        <v>57</v>
      </c>
      <c r="E24" s="3">
        <v>0.5</v>
      </c>
      <c r="F24" s="3">
        <v>4</v>
      </c>
      <c r="G24" s="3">
        <v>4</v>
      </c>
      <c r="H24" s="11" t="s">
        <v>5</v>
      </c>
      <c r="I24" s="5" t="str">
        <f t="shared" si="0"/>
        <v>S 102 A 053 -130</v>
      </c>
      <c r="J24" s="4" t="str">
        <f t="shared" si="1"/>
        <v>DEE 102 A 053 -130</v>
      </c>
      <c r="K24" s="6" t="str">
        <f t="shared" si="2"/>
        <v>E31 102.2/4.1 +B</v>
      </c>
      <c r="L24" s="1" t="str">
        <f t="shared" si="3"/>
        <v>102</v>
      </c>
      <c r="M24" s="8"/>
      <c r="N24" s="3" t="s">
        <v>49</v>
      </c>
      <c r="O24" s="3" t="str">
        <f t="shared" si="15"/>
        <v>053</v>
      </c>
      <c r="P24" s="11" t="str">
        <f t="shared" si="12"/>
        <v>DEE</v>
      </c>
      <c r="Q24" s="1" t="s">
        <v>151</v>
      </c>
      <c r="R24" s="3" t="str">
        <f t="shared" si="5"/>
        <v>-130</v>
      </c>
      <c r="S24" s="3" t="str">
        <f t="shared" si="5"/>
        <v>-130</v>
      </c>
      <c r="T24" s="56" t="s">
        <v>72</v>
      </c>
      <c r="U24" s="52">
        <v>10</v>
      </c>
      <c r="V24" s="25" t="s">
        <v>73</v>
      </c>
      <c r="W24" s="3" t="s">
        <v>75</v>
      </c>
      <c r="X24" s="3">
        <v>2</v>
      </c>
      <c r="Y24" s="3">
        <v>4</v>
      </c>
      <c r="Z24" s="3">
        <v>4.0999999999999996</v>
      </c>
      <c r="AA24" s="3" t="str">
        <f t="shared" si="8"/>
        <v>+B</v>
      </c>
    </row>
    <row r="25" spans="1:27" x14ac:dyDescent="0.25">
      <c r="A25" s="3">
        <v>21</v>
      </c>
      <c r="B25" s="3" t="s">
        <v>114</v>
      </c>
      <c r="C25" s="3" t="s">
        <v>31</v>
      </c>
      <c r="D25" s="3" t="s">
        <v>57</v>
      </c>
      <c r="E25" s="3">
        <v>0.5</v>
      </c>
      <c r="F25" s="3">
        <v>4</v>
      </c>
      <c r="G25" s="3">
        <v>4</v>
      </c>
      <c r="H25" s="11" t="s">
        <v>5</v>
      </c>
      <c r="I25" s="5" t="str">
        <f t="shared" si="0"/>
        <v>S 102 A 053 -130</v>
      </c>
      <c r="J25" s="4" t="str">
        <f t="shared" si="1"/>
        <v>DEE 102 A 053 -130</v>
      </c>
      <c r="K25" s="6" t="str">
        <f t="shared" si="2"/>
        <v>E31 102.2/4.1 +B</v>
      </c>
      <c r="L25" s="1" t="str">
        <f t="shared" si="3"/>
        <v>102</v>
      </c>
      <c r="M25" s="8"/>
      <c r="N25" s="3" t="s">
        <v>49</v>
      </c>
      <c r="O25" s="3" t="str">
        <f t="shared" si="15"/>
        <v>053</v>
      </c>
      <c r="P25" s="11" t="str">
        <f t="shared" si="12"/>
        <v>DEE</v>
      </c>
      <c r="Q25" s="1" t="s">
        <v>151</v>
      </c>
      <c r="R25" s="3" t="str">
        <f t="shared" si="5"/>
        <v>-130</v>
      </c>
      <c r="S25" s="3" t="str">
        <f t="shared" si="5"/>
        <v>-130</v>
      </c>
      <c r="T25" s="56" t="s">
        <v>72</v>
      </c>
      <c r="U25" s="52">
        <v>10</v>
      </c>
      <c r="V25" s="25" t="s">
        <v>73</v>
      </c>
      <c r="W25" s="3" t="s">
        <v>75</v>
      </c>
      <c r="X25" s="3">
        <v>2</v>
      </c>
      <c r="Y25" s="3">
        <v>4</v>
      </c>
      <c r="Z25" s="3">
        <v>4.0999999999999996</v>
      </c>
      <c r="AA25" s="3" t="str">
        <f t="shared" si="8"/>
        <v>+B</v>
      </c>
    </row>
    <row r="26" spans="1:27" x14ac:dyDescent="0.25">
      <c r="A26" s="3">
        <v>22</v>
      </c>
      <c r="B26" s="3" t="s">
        <v>25</v>
      </c>
      <c r="C26" s="3" t="s">
        <v>28</v>
      </c>
      <c r="D26" s="3" t="s">
        <v>56</v>
      </c>
      <c r="E26" s="3">
        <v>1</v>
      </c>
      <c r="F26" s="3">
        <v>2</v>
      </c>
      <c r="G26" s="3">
        <v>7</v>
      </c>
      <c r="H26" s="12" t="s">
        <v>26</v>
      </c>
      <c r="I26" s="5" t="str">
        <f>IF(OR(Q26="",L26="",N26="",O26="",R26=""),"(incompletely spec'd)",CONCATENATE(Q26," ",L26," ",N26," ",O26," ",R26))</f>
        <v>S 103 A 057 -130</v>
      </c>
      <c r="J26" s="4" t="str">
        <f>IF(OR(P26="",L26="",N26="",O26="",R26=""),"(incompletely spec'd)",CONCATENATE(P26," ",L26," ",N26," ",O26," ",R26))</f>
        <v>DBPE 103 A 057 -130</v>
      </c>
      <c r="K26" s="6" t="str">
        <f t="shared" si="2"/>
        <v>E31 103.2/5.2 +B</v>
      </c>
      <c r="L26" s="1" t="str">
        <f>"103"</f>
        <v>103</v>
      </c>
      <c r="M26" s="9"/>
      <c r="N26" s="1" t="s">
        <v>49</v>
      </c>
      <c r="O26" s="3" t="str">
        <f>"057"</f>
        <v>057</v>
      </c>
      <c r="P26" s="12" t="str">
        <f t="shared" si="6"/>
        <v>DBPE</v>
      </c>
      <c r="Q26" s="1" t="s">
        <v>151</v>
      </c>
      <c r="R26" s="3" t="str">
        <f t="shared" si="5"/>
        <v>-130</v>
      </c>
      <c r="S26" s="3" t="str">
        <f t="shared" si="5"/>
        <v>-130</v>
      </c>
      <c r="T26" s="56" t="s">
        <v>113</v>
      </c>
      <c r="U26" s="50">
        <v>6</v>
      </c>
      <c r="V26" s="24" t="s">
        <v>65</v>
      </c>
      <c r="W26" s="3" t="s">
        <v>75</v>
      </c>
      <c r="X26" s="3">
        <v>2</v>
      </c>
      <c r="Y26" s="3">
        <v>5.0999999999999996</v>
      </c>
      <c r="Z26" s="3">
        <v>5.2</v>
      </c>
      <c r="AA26" s="3" t="str">
        <f t="shared" si="4"/>
        <v>+B</v>
      </c>
    </row>
    <row r="27" spans="1:27" x14ac:dyDescent="0.25">
      <c r="A27" s="3">
        <v>23</v>
      </c>
      <c r="B27" s="3" t="s">
        <v>37</v>
      </c>
      <c r="C27" s="3" t="s">
        <v>32</v>
      </c>
      <c r="D27" s="3" t="s">
        <v>56</v>
      </c>
      <c r="E27" s="3">
        <v>0.5</v>
      </c>
      <c r="F27" s="3">
        <v>8</v>
      </c>
      <c r="G27" s="3">
        <v>8</v>
      </c>
      <c r="H27" s="12" t="s">
        <v>26</v>
      </c>
      <c r="I27" s="5" t="str">
        <f t="shared" si="0"/>
        <v>S 103 A 058 -130</v>
      </c>
      <c r="J27" s="4" t="str">
        <f t="shared" si="1"/>
        <v>DBPE 103 A 058 -130</v>
      </c>
      <c r="K27" s="6" t="str">
        <f t="shared" si="2"/>
        <v>E31 103.2/5.7 +B</v>
      </c>
      <c r="L27" s="1" t="str">
        <f>"103"</f>
        <v>103</v>
      </c>
      <c r="M27" s="9"/>
      <c r="N27" s="3" t="s">
        <v>49</v>
      </c>
      <c r="O27" s="3" t="str">
        <f>"058"</f>
        <v>058</v>
      </c>
      <c r="P27" s="12" t="str">
        <f>"DBPE"</f>
        <v>DBPE</v>
      </c>
      <c r="Q27" s="1" t="s">
        <v>151</v>
      </c>
      <c r="R27" s="3" t="str">
        <f t="shared" si="5"/>
        <v>-130</v>
      </c>
      <c r="S27" s="3" t="str">
        <f t="shared" si="5"/>
        <v>-130</v>
      </c>
      <c r="T27" s="56" t="s">
        <v>59</v>
      </c>
      <c r="U27" s="51">
        <v>9</v>
      </c>
      <c r="V27" s="14" t="s">
        <v>215</v>
      </c>
      <c r="W27" s="3" t="s">
        <v>75</v>
      </c>
      <c r="X27" s="3">
        <v>2</v>
      </c>
      <c r="Y27" s="3">
        <v>5.5</v>
      </c>
      <c r="Z27" s="3">
        <v>5.7</v>
      </c>
      <c r="AA27" s="3" t="str">
        <f t="shared" ref="AA27" si="16">"+B"</f>
        <v>+B</v>
      </c>
    </row>
    <row r="28" spans="1:27" x14ac:dyDescent="0.25">
      <c r="A28" s="3">
        <v>24</v>
      </c>
      <c r="B28" s="3" t="s">
        <v>170</v>
      </c>
      <c r="C28" s="3" t="s">
        <v>32</v>
      </c>
      <c r="D28" s="3" t="s">
        <v>56</v>
      </c>
      <c r="E28" s="3">
        <v>0.5</v>
      </c>
      <c r="F28" s="3">
        <v>8</v>
      </c>
      <c r="G28" s="3">
        <v>8</v>
      </c>
      <c r="H28" s="13" t="s">
        <v>36</v>
      </c>
      <c r="I28" s="5" t="str">
        <f t="shared" si="0"/>
        <v>S 103 A 058 -130</v>
      </c>
      <c r="J28" s="4" t="str">
        <f t="shared" si="1"/>
        <v>DKBE 103 A 058 -130</v>
      </c>
      <c r="K28" s="6" t="str">
        <f t="shared" si="2"/>
        <v>E31 103.2/5.7 +B</v>
      </c>
      <c r="L28" s="1" t="str">
        <f>"103"</f>
        <v>103</v>
      </c>
      <c r="M28" s="9"/>
      <c r="N28" s="3" t="s">
        <v>49</v>
      </c>
      <c r="O28" s="3" t="str">
        <f>"058"</f>
        <v>058</v>
      </c>
      <c r="P28" s="13" t="s">
        <v>51</v>
      </c>
      <c r="Q28" s="1" t="s">
        <v>151</v>
      </c>
      <c r="R28" s="3" t="str">
        <f t="shared" si="5"/>
        <v>-130</v>
      </c>
      <c r="S28" s="3" t="str">
        <f t="shared" si="5"/>
        <v>-130</v>
      </c>
      <c r="T28" s="56" t="s">
        <v>59</v>
      </c>
      <c r="U28" s="51">
        <v>9</v>
      </c>
      <c r="V28" s="14" t="s">
        <v>215</v>
      </c>
      <c r="W28" s="3" t="s">
        <v>75</v>
      </c>
      <c r="X28" s="3">
        <v>2</v>
      </c>
      <c r="Y28" s="3">
        <v>5.5</v>
      </c>
      <c r="Z28" s="3">
        <v>5.7</v>
      </c>
      <c r="AA28" s="3" t="str">
        <f t="shared" ref="AA28:AA45" si="17">"+B"</f>
        <v>+B</v>
      </c>
    </row>
    <row r="29" spans="1:27" x14ac:dyDescent="0.25">
      <c r="A29" s="3">
        <v>25</v>
      </c>
      <c r="B29" s="3" t="s">
        <v>38</v>
      </c>
      <c r="C29" s="3" t="s">
        <v>32</v>
      </c>
      <c r="D29" s="3" t="s">
        <v>56</v>
      </c>
      <c r="E29" s="3">
        <v>2</v>
      </c>
      <c r="F29" s="3">
        <v>5</v>
      </c>
      <c r="G29" s="3">
        <v>5</v>
      </c>
      <c r="H29" s="12" t="s">
        <v>26</v>
      </c>
      <c r="I29" s="5" t="str">
        <f t="shared" si="0"/>
        <v>S 103 A 054 -130</v>
      </c>
      <c r="J29" s="4" t="str">
        <f t="shared" si="1"/>
        <v>DBPE 103 A 054 -130</v>
      </c>
      <c r="K29" s="6" t="str">
        <f t="shared" si="2"/>
        <v>E31 103.2/4.7 +B</v>
      </c>
      <c r="L29" s="1" t="str">
        <f>"103"</f>
        <v>103</v>
      </c>
      <c r="M29" s="9"/>
      <c r="N29" s="3" t="s">
        <v>49</v>
      </c>
      <c r="O29" s="3" t="str">
        <f>"054"</f>
        <v>054</v>
      </c>
      <c r="P29" s="12" t="str">
        <f>"DBPE"</f>
        <v>DBPE</v>
      </c>
      <c r="Q29" s="1" t="s">
        <v>151</v>
      </c>
      <c r="R29" s="3" t="str">
        <f t="shared" si="5"/>
        <v>-130</v>
      </c>
      <c r="S29" s="3" t="str">
        <f t="shared" si="5"/>
        <v>-130</v>
      </c>
      <c r="T29" s="56" t="s">
        <v>68</v>
      </c>
      <c r="U29" s="46">
        <v>7</v>
      </c>
      <c r="V29" s="25" t="s">
        <v>67</v>
      </c>
      <c r="W29" s="3" t="s">
        <v>75</v>
      </c>
      <c r="X29" s="3">
        <v>2</v>
      </c>
      <c r="Y29" s="3">
        <v>4.7</v>
      </c>
      <c r="Z29" s="3">
        <v>4.7</v>
      </c>
      <c r="AA29" s="3" t="str">
        <f t="shared" si="17"/>
        <v>+B</v>
      </c>
    </row>
    <row r="30" spans="1:27" x14ac:dyDescent="0.25">
      <c r="A30" s="3">
        <v>26</v>
      </c>
      <c r="B30" s="3" t="s">
        <v>34</v>
      </c>
      <c r="C30" s="3" t="s">
        <v>35</v>
      </c>
      <c r="D30" s="3" t="s">
        <v>56</v>
      </c>
      <c r="E30" s="3">
        <v>2</v>
      </c>
      <c r="F30" s="3">
        <v>8</v>
      </c>
      <c r="G30" s="3">
        <v>8</v>
      </c>
      <c r="H30" s="12" t="s">
        <v>20</v>
      </c>
      <c r="I30" s="5" t="str">
        <f t="shared" ref="I30:I32" si="18">IF(OR(Q30="",L30="",N30="",O30="",R30=""),"(incompletely spec'd)",CONCATENATE(Q30," ",L30," ",N30," ",O30," ",R30))</f>
        <v>S 103 A 058 -130</v>
      </c>
      <c r="J30" s="4" t="str">
        <f t="shared" ref="J30:J32" si="19">IF(OR(P30="",L30="",N30="",O30="",R30=""),"(incompletely spec'd)",CONCATENATE(P30," ",L30," ",N30," ",O30," ",R30))</f>
        <v>DBPE 103 A 058 -130</v>
      </c>
      <c r="K30" s="6" t="str">
        <f t="shared" si="2"/>
        <v>E31 103.2/6.2 +B</v>
      </c>
      <c r="L30" s="1" t="str">
        <f>"103"</f>
        <v>103</v>
      </c>
      <c r="M30" s="9"/>
      <c r="N30" s="3" t="s">
        <v>49</v>
      </c>
      <c r="O30" s="3" t="str">
        <f>"058"</f>
        <v>058</v>
      </c>
      <c r="P30" s="12" t="str">
        <f>"DBPE"</f>
        <v>DBPE</v>
      </c>
      <c r="Q30" s="1" t="s">
        <v>151</v>
      </c>
      <c r="R30" s="3" t="str">
        <f t="shared" si="5"/>
        <v>-130</v>
      </c>
      <c r="S30" s="3" t="str">
        <f t="shared" si="5"/>
        <v>-130</v>
      </c>
      <c r="U30" s="58" t="s">
        <v>143</v>
      </c>
      <c r="V30" s="26"/>
      <c r="W30" s="3" t="s">
        <v>75</v>
      </c>
      <c r="X30" s="3">
        <v>2</v>
      </c>
      <c r="Y30" s="28">
        <v>6.2</v>
      </c>
      <c r="Z30" s="28">
        <v>6.2</v>
      </c>
      <c r="AA30" s="3" t="str">
        <f t="shared" si="17"/>
        <v>+B</v>
      </c>
    </row>
    <row r="31" spans="1:27" x14ac:dyDescent="0.25">
      <c r="A31" s="3">
        <v>27</v>
      </c>
      <c r="B31" s="3" t="s">
        <v>116</v>
      </c>
      <c r="C31" s="3" t="s">
        <v>120</v>
      </c>
      <c r="D31" s="3" t="s">
        <v>56</v>
      </c>
      <c r="E31" s="3">
        <v>2</v>
      </c>
      <c r="F31" s="3">
        <v>8</v>
      </c>
      <c r="G31" s="3">
        <v>8</v>
      </c>
      <c r="H31" s="12" t="s">
        <v>121</v>
      </c>
      <c r="I31" s="5" t="str">
        <f t="shared" si="18"/>
        <v>S 103 A 058 -130</v>
      </c>
      <c r="J31" s="4" t="str">
        <f t="shared" si="19"/>
        <v>DBPE 103 A 058 -130</v>
      </c>
      <c r="K31" s="6" t="str">
        <f t="shared" si="2"/>
        <v>(incompletely spec'd)</v>
      </c>
      <c r="L31" s="1" t="str">
        <f t="shared" ref="L31:L32" si="20">"103"</f>
        <v>103</v>
      </c>
      <c r="M31" s="9"/>
      <c r="N31" s="3" t="s">
        <v>49</v>
      </c>
      <c r="O31" s="3" t="str">
        <f t="shared" ref="O31:O32" si="21">"058"</f>
        <v>058</v>
      </c>
      <c r="P31" s="12" t="str">
        <f t="shared" ref="P31:P32" si="22">"DBPE"</f>
        <v>DBPE</v>
      </c>
      <c r="Q31" s="1" t="s">
        <v>151</v>
      </c>
      <c r="R31" s="3" t="str">
        <f t="shared" si="5"/>
        <v>-130</v>
      </c>
      <c r="S31" s="3" t="str">
        <f t="shared" si="5"/>
        <v>-130</v>
      </c>
      <c r="T31" s="56" t="s">
        <v>122</v>
      </c>
      <c r="V31" s="25" t="s">
        <v>124</v>
      </c>
      <c r="W31" s="3" t="s">
        <v>75</v>
      </c>
      <c r="X31" s="3">
        <v>2</v>
      </c>
      <c r="Z31" s="3"/>
      <c r="AA31" s="3" t="str">
        <f t="shared" si="17"/>
        <v>+B</v>
      </c>
    </row>
    <row r="32" spans="1:27" x14ac:dyDescent="0.25">
      <c r="A32" s="3">
        <v>28</v>
      </c>
      <c r="B32" s="3" t="s">
        <v>117</v>
      </c>
      <c r="C32" s="3" t="s">
        <v>120</v>
      </c>
      <c r="D32" s="3" t="s">
        <v>56</v>
      </c>
      <c r="E32" s="3">
        <v>2</v>
      </c>
      <c r="F32" s="3">
        <v>8</v>
      </c>
      <c r="G32" s="3">
        <v>8</v>
      </c>
      <c r="H32" s="12" t="s">
        <v>121</v>
      </c>
      <c r="I32" s="5" t="str">
        <f t="shared" si="18"/>
        <v>S 103 A 058 -130</v>
      </c>
      <c r="J32" s="4" t="str">
        <f t="shared" si="19"/>
        <v>DBPE 103 A 058 -130</v>
      </c>
      <c r="K32" s="6" t="str">
        <f t="shared" si="2"/>
        <v>(incompletely spec'd)</v>
      </c>
      <c r="L32" s="1" t="str">
        <f t="shared" si="20"/>
        <v>103</v>
      </c>
      <c r="M32" s="9"/>
      <c r="N32" s="3" t="s">
        <v>49</v>
      </c>
      <c r="O32" s="3" t="str">
        <f t="shared" si="21"/>
        <v>058</v>
      </c>
      <c r="P32" s="12" t="str">
        <f t="shared" si="22"/>
        <v>DBPE</v>
      </c>
      <c r="Q32" s="1" t="s">
        <v>151</v>
      </c>
      <c r="R32" s="3" t="str">
        <f t="shared" si="5"/>
        <v>-130</v>
      </c>
      <c r="S32" s="3" t="str">
        <f t="shared" si="5"/>
        <v>-130</v>
      </c>
      <c r="T32" s="56" t="s">
        <v>122</v>
      </c>
      <c r="V32" s="25" t="s">
        <v>124</v>
      </c>
      <c r="W32" s="3" t="s">
        <v>75</v>
      </c>
      <c r="X32" s="3">
        <v>2</v>
      </c>
      <c r="Z32" s="3"/>
      <c r="AA32" s="3" t="str">
        <f t="shared" si="17"/>
        <v>+B</v>
      </c>
    </row>
    <row r="33" spans="1:27" x14ac:dyDescent="0.25">
      <c r="A33" s="3">
        <v>29</v>
      </c>
      <c r="B33" s="3" t="s">
        <v>199</v>
      </c>
      <c r="C33" s="3" t="s">
        <v>47</v>
      </c>
      <c r="D33" s="3" t="s">
        <v>56</v>
      </c>
      <c r="E33" s="3" t="s">
        <v>198</v>
      </c>
      <c r="F33" s="3">
        <v>4</v>
      </c>
      <c r="G33" s="3">
        <v>4</v>
      </c>
      <c r="H33" s="12" t="s">
        <v>26</v>
      </c>
      <c r="I33" s="5" t="str">
        <f t="shared" si="0"/>
        <v>S 104 Z 087 -130</v>
      </c>
      <c r="J33" s="4" t="str">
        <f t="shared" si="1"/>
        <v>DBPE 104 Z 087 -130</v>
      </c>
      <c r="K33" s="6" t="str">
        <f t="shared" si="2"/>
        <v>E31 104.2/8.7 +B</v>
      </c>
      <c r="L33" s="1" t="str">
        <f t="shared" ref="L33:L43" si="23">"104"</f>
        <v>104</v>
      </c>
      <c r="M33" s="59"/>
      <c r="N33" s="3" t="s">
        <v>50</v>
      </c>
      <c r="O33" s="3" t="str">
        <f>"087"</f>
        <v>087</v>
      </c>
      <c r="P33" s="12" t="str">
        <f>"DBPE"</f>
        <v>DBPE</v>
      </c>
      <c r="Q33" s="1" t="s">
        <v>151</v>
      </c>
      <c r="R33" s="3" t="str">
        <f t="shared" si="5"/>
        <v>-130</v>
      </c>
      <c r="S33" s="3" t="str">
        <f t="shared" si="5"/>
        <v>-130</v>
      </c>
      <c r="T33" s="56" t="s">
        <v>100</v>
      </c>
      <c r="U33" s="8">
        <v>1</v>
      </c>
      <c r="V33" s="24" t="s">
        <v>69</v>
      </c>
      <c r="W33" s="3" t="s">
        <v>75</v>
      </c>
      <c r="X33" s="3">
        <v>2</v>
      </c>
      <c r="Y33" s="3">
        <v>8.6999999999999993</v>
      </c>
      <c r="Z33" s="28">
        <v>8.6999999999999993</v>
      </c>
      <c r="AA33" s="3" t="str">
        <f t="shared" si="17"/>
        <v>+B</v>
      </c>
    </row>
    <row r="34" spans="1:27" x14ac:dyDescent="0.25">
      <c r="A34" s="3">
        <v>30</v>
      </c>
      <c r="B34" s="3" t="s">
        <v>200</v>
      </c>
      <c r="C34" s="3" t="s">
        <v>47</v>
      </c>
      <c r="D34" s="3" t="s">
        <v>56</v>
      </c>
      <c r="E34" s="3" t="s">
        <v>198</v>
      </c>
      <c r="F34" s="3">
        <v>4</v>
      </c>
      <c r="G34" s="3">
        <v>4</v>
      </c>
      <c r="H34" s="12" t="s">
        <v>26</v>
      </c>
      <c r="I34" s="5" t="str">
        <f t="shared" si="0"/>
        <v>S 104 Z 087 -130</v>
      </c>
      <c r="J34" s="4" t="str">
        <f t="shared" si="1"/>
        <v>DBPE 104 Z 087 -130</v>
      </c>
      <c r="K34" s="6" t="str">
        <f t="shared" si="2"/>
        <v>E31 104.2/8.7 +B</v>
      </c>
      <c r="L34" s="1" t="str">
        <f t="shared" si="23"/>
        <v>104</v>
      </c>
      <c r="M34" s="59"/>
      <c r="N34" s="3" t="s">
        <v>50</v>
      </c>
      <c r="O34" s="3" t="str">
        <f>"087"</f>
        <v>087</v>
      </c>
      <c r="P34" s="12" t="str">
        <f>"DBPE"</f>
        <v>DBPE</v>
      </c>
      <c r="Q34" s="1" t="s">
        <v>151</v>
      </c>
      <c r="R34" s="3" t="str">
        <f t="shared" si="5"/>
        <v>-130</v>
      </c>
      <c r="S34" s="3" t="str">
        <f t="shared" si="5"/>
        <v>-130</v>
      </c>
      <c r="T34" s="56" t="s">
        <v>100</v>
      </c>
      <c r="U34" s="8">
        <v>1</v>
      </c>
      <c r="V34" s="24" t="s">
        <v>69</v>
      </c>
      <c r="W34" s="3" t="s">
        <v>75</v>
      </c>
      <c r="X34" s="3">
        <v>2</v>
      </c>
      <c r="Y34" s="3">
        <v>8.6999999999999993</v>
      </c>
      <c r="Z34" s="28">
        <v>8.6999999999999993</v>
      </c>
      <c r="AA34" s="3" t="str">
        <f t="shared" si="17"/>
        <v>+B</v>
      </c>
    </row>
    <row r="35" spans="1:27" x14ac:dyDescent="0.25">
      <c r="A35" s="3">
        <v>31</v>
      </c>
      <c r="B35" s="3" t="s">
        <v>39</v>
      </c>
      <c r="C35" s="3" t="s">
        <v>48</v>
      </c>
      <c r="D35" s="3" t="s">
        <v>56</v>
      </c>
      <c r="E35" s="3">
        <v>6</v>
      </c>
      <c r="F35" s="3">
        <v>2</v>
      </c>
      <c r="G35" s="3">
        <v>3</v>
      </c>
      <c r="H35" s="12" t="s">
        <v>20</v>
      </c>
      <c r="I35" s="5" t="str">
        <f t="shared" si="0"/>
        <v>S 104 A 040 -130</v>
      </c>
      <c r="J35" s="4" t="str">
        <f t="shared" si="1"/>
        <v>DBPE 104 A 040 -130</v>
      </c>
      <c r="K35" s="6" t="str">
        <f t="shared" si="2"/>
        <v>E31 104.2/6.7 +B</v>
      </c>
      <c r="L35" s="1" t="str">
        <f t="shared" si="23"/>
        <v>104</v>
      </c>
      <c r="M35" s="59"/>
      <c r="N35" s="3" t="s">
        <v>49</v>
      </c>
      <c r="O35" s="3" t="str">
        <f>"040"</f>
        <v>040</v>
      </c>
      <c r="P35" s="12" t="str">
        <f t="shared" ref="P35:P36" si="24">"DBPE"</f>
        <v>DBPE</v>
      </c>
      <c r="Q35" s="1" t="s">
        <v>151</v>
      </c>
      <c r="R35" s="3" t="str">
        <f t="shared" si="5"/>
        <v>-130</v>
      </c>
      <c r="S35" s="3" t="str">
        <f t="shared" si="5"/>
        <v>-130</v>
      </c>
      <c r="U35" s="48">
        <v>2</v>
      </c>
      <c r="V35" s="25" t="s">
        <v>65</v>
      </c>
      <c r="W35" s="3" t="s">
        <v>75</v>
      </c>
      <c r="X35" s="3">
        <v>2</v>
      </c>
      <c r="Y35" s="3">
        <v>6.7</v>
      </c>
      <c r="Z35" s="3">
        <v>6.7</v>
      </c>
      <c r="AA35" s="3" t="str">
        <f t="shared" si="17"/>
        <v>+B</v>
      </c>
    </row>
    <row r="36" spans="1:27" x14ac:dyDescent="0.25">
      <c r="A36" s="3">
        <v>32</v>
      </c>
      <c r="B36" s="3" t="s">
        <v>40</v>
      </c>
      <c r="C36" s="3" t="s">
        <v>48</v>
      </c>
      <c r="D36" s="3" t="s">
        <v>56</v>
      </c>
      <c r="E36" s="3">
        <v>6</v>
      </c>
      <c r="F36" s="3">
        <v>2</v>
      </c>
      <c r="G36" s="3">
        <v>3</v>
      </c>
      <c r="H36" s="12" t="s">
        <v>20</v>
      </c>
      <c r="I36" s="5" t="str">
        <f t="shared" si="0"/>
        <v>S 104 A 040 -130</v>
      </c>
      <c r="J36" s="4" t="str">
        <f t="shared" si="1"/>
        <v>DBPE 104 A 040 -130</v>
      </c>
      <c r="K36" s="6" t="str">
        <f t="shared" si="2"/>
        <v>E31 104.2/6.7 +B</v>
      </c>
      <c r="L36" s="1" t="str">
        <f t="shared" si="23"/>
        <v>104</v>
      </c>
      <c r="M36" s="59"/>
      <c r="N36" s="3" t="s">
        <v>49</v>
      </c>
      <c r="O36" s="3" t="str">
        <f t="shared" ref="O36:O40" si="25">"040"</f>
        <v>040</v>
      </c>
      <c r="P36" s="12" t="str">
        <f t="shared" si="24"/>
        <v>DBPE</v>
      </c>
      <c r="Q36" s="1" t="s">
        <v>151</v>
      </c>
      <c r="R36" s="3" t="str">
        <f t="shared" si="5"/>
        <v>-130</v>
      </c>
      <c r="S36" s="3" t="str">
        <f t="shared" si="5"/>
        <v>-130</v>
      </c>
      <c r="U36" s="48">
        <v>2</v>
      </c>
      <c r="V36" s="25" t="s">
        <v>65</v>
      </c>
      <c r="W36" s="3" t="s">
        <v>75</v>
      </c>
      <c r="X36" s="3">
        <v>2</v>
      </c>
      <c r="Y36" s="3">
        <v>6.7</v>
      </c>
      <c r="Z36" s="3">
        <v>6.7</v>
      </c>
      <c r="AA36" s="3" t="str">
        <f t="shared" si="17"/>
        <v>+B</v>
      </c>
    </row>
    <row r="37" spans="1:27" x14ac:dyDescent="0.25">
      <c r="A37" s="3">
        <v>33</v>
      </c>
      <c r="B37" s="3" t="s">
        <v>41</v>
      </c>
      <c r="C37" s="3" t="s">
        <v>48</v>
      </c>
      <c r="D37" s="3" t="s">
        <v>56</v>
      </c>
      <c r="E37" s="3">
        <v>6</v>
      </c>
      <c r="F37" s="3">
        <v>2</v>
      </c>
      <c r="G37" s="3">
        <v>3</v>
      </c>
      <c r="H37" s="11" t="s">
        <v>5</v>
      </c>
      <c r="I37" s="5" t="str">
        <f t="shared" si="0"/>
        <v>S 104 A 040 -130</v>
      </c>
      <c r="J37" s="4" t="str">
        <f t="shared" si="1"/>
        <v>DEE 104 A 040 -130</v>
      </c>
      <c r="K37" s="6" t="str">
        <f t="shared" si="2"/>
        <v>E31 104.2/6.7 +B</v>
      </c>
      <c r="L37" s="1" t="str">
        <f t="shared" si="23"/>
        <v>104</v>
      </c>
      <c r="M37" s="59"/>
      <c r="N37" s="3" t="s">
        <v>49</v>
      </c>
      <c r="O37" s="3" t="str">
        <f t="shared" si="25"/>
        <v>040</v>
      </c>
      <c r="P37" s="11" t="str">
        <f t="shared" ref="P37:P40" si="26">"DEE"</f>
        <v>DEE</v>
      </c>
      <c r="Q37" s="1" t="s">
        <v>151</v>
      </c>
      <c r="R37" s="3" t="str">
        <f t="shared" si="5"/>
        <v>-130</v>
      </c>
      <c r="S37" s="3" t="str">
        <f t="shared" si="5"/>
        <v>-130</v>
      </c>
      <c r="U37" s="48">
        <v>2</v>
      </c>
      <c r="V37" s="25" t="s">
        <v>65</v>
      </c>
      <c r="W37" s="3" t="s">
        <v>75</v>
      </c>
      <c r="X37" s="3">
        <v>2</v>
      </c>
      <c r="Y37" s="3">
        <v>6.7</v>
      </c>
      <c r="Z37" s="3">
        <v>6.7</v>
      </c>
      <c r="AA37" s="3" t="str">
        <f t="shared" si="17"/>
        <v>+B</v>
      </c>
    </row>
    <row r="38" spans="1:27" x14ac:dyDescent="0.25">
      <c r="A38" s="3">
        <v>34</v>
      </c>
      <c r="B38" s="3" t="s">
        <v>42</v>
      </c>
      <c r="C38" s="3" t="s">
        <v>48</v>
      </c>
      <c r="D38" s="3" t="s">
        <v>56</v>
      </c>
      <c r="E38" s="3">
        <v>6</v>
      </c>
      <c r="F38" s="3">
        <v>2</v>
      </c>
      <c r="G38" s="3">
        <v>3</v>
      </c>
      <c r="H38" s="11" t="s">
        <v>5</v>
      </c>
      <c r="I38" s="5" t="str">
        <f t="shared" si="0"/>
        <v>S 104 A 040 -130</v>
      </c>
      <c r="J38" s="4" t="str">
        <f t="shared" si="1"/>
        <v>DEE 104 A 040 -130</v>
      </c>
      <c r="K38" s="6" t="str">
        <f t="shared" si="2"/>
        <v>E31 104.2/6.7 +B</v>
      </c>
      <c r="L38" s="1" t="str">
        <f t="shared" si="23"/>
        <v>104</v>
      </c>
      <c r="M38" s="59"/>
      <c r="N38" s="3" t="s">
        <v>49</v>
      </c>
      <c r="O38" s="3" t="str">
        <f t="shared" si="25"/>
        <v>040</v>
      </c>
      <c r="P38" s="11" t="str">
        <f t="shared" si="26"/>
        <v>DEE</v>
      </c>
      <c r="Q38" s="1" t="s">
        <v>151</v>
      </c>
      <c r="R38" s="3" t="str">
        <f t="shared" si="5"/>
        <v>-130</v>
      </c>
      <c r="S38" s="3" t="str">
        <f t="shared" si="5"/>
        <v>-130</v>
      </c>
      <c r="U38" s="48">
        <v>2</v>
      </c>
      <c r="V38" s="25" t="s">
        <v>65</v>
      </c>
      <c r="W38" s="3" t="s">
        <v>75</v>
      </c>
      <c r="X38" s="3">
        <v>2</v>
      </c>
      <c r="Y38" s="3">
        <v>6.7</v>
      </c>
      <c r="Z38" s="3">
        <v>6.7</v>
      </c>
      <c r="AA38" s="3" t="str">
        <f t="shared" si="17"/>
        <v>+B</v>
      </c>
    </row>
    <row r="39" spans="1:27" x14ac:dyDescent="0.25">
      <c r="A39" s="3">
        <v>35</v>
      </c>
      <c r="B39" s="3" t="s">
        <v>43</v>
      </c>
      <c r="C39" s="3" t="s">
        <v>48</v>
      </c>
      <c r="D39" s="3" t="s">
        <v>56</v>
      </c>
      <c r="E39" s="3">
        <v>6</v>
      </c>
      <c r="F39" s="3">
        <v>2</v>
      </c>
      <c r="G39" s="3">
        <v>3</v>
      </c>
      <c r="H39" s="11" t="s">
        <v>5</v>
      </c>
      <c r="I39" s="5" t="str">
        <f t="shared" si="0"/>
        <v>S 104 A 040 -130</v>
      </c>
      <c r="J39" s="4" t="str">
        <f t="shared" si="1"/>
        <v>DEE 104 A 040 -130</v>
      </c>
      <c r="K39" s="6" t="str">
        <f t="shared" si="2"/>
        <v>E31 104.2/6.7 +B</v>
      </c>
      <c r="L39" s="1" t="str">
        <f t="shared" si="23"/>
        <v>104</v>
      </c>
      <c r="M39" s="59"/>
      <c r="N39" s="3" t="s">
        <v>49</v>
      </c>
      <c r="O39" s="3" t="str">
        <f t="shared" si="25"/>
        <v>040</v>
      </c>
      <c r="P39" s="11" t="str">
        <f t="shared" si="26"/>
        <v>DEE</v>
      </c>
      <c r="Q39" s="1" t="s">
        <v>151</v>
      </c>
      <c r="R39" s="3" t="str">
        <f t="shared" si="5"/>
        <v>-130</v>
      </c>
      <c r="S39" s="3" t="str">
        <f t="shared" si="5"/>
        <v>-130</v>
      </c>
      <c r="U39" s="48">
        <v>2</v>
      </c>
      <c r="V39" s="25" t="s">
        <v>65</v>
      </c>
      <c r="W39" s="3" t="s">
        <v>75</v>
      </c>
      <c r="X39" s="3">
        <v>2</v>
      </c>
      <c r="Y39" s="3">
        <v>6.7</v>
      </c>
      <c r="Z39" s="3">
        <v>6.7</v>
      </c>
      <c r="AA39" s="3" t="str">
        <f t="shared" si="17"/>
        <v>+B</v>
      </c>
    </row>
    <row r="40" spans="1:27" x14ac:dyDescent="0.25">
      <c r="A40" s="3">
        <v>36</v>
      </c>
      <c r="B40" s="3" t="s">
        <v>44</v>
      </c>
      <c r="C40" s="3" t="s">
        <v>48</v>
      </c>
      <c r="D40" s="3" t="s">
        <v>56</v>
      </c>
      <c r="E40" s="3">
        <v>6</v>
      </c>
      <c r="F40" s="3">
        <v>2</v>
      </c>
      <c r="G40" s="3">
        <v>3</v>
      </c>
      <c r="H40" s="11" t="s">
        <v>5</v>
      </c>
      <c r="I40" s="5" t="str">
        <f t="shared" si="0"/>
        <v>S 104 A 040 -130</v>
      </c>
      <c r="J40" s="4" t="str">
        <f t="shared" si="1"/>
        <v>DEE 104 A 040 -130</v>
      </c>
      <c r="K40" s="6" t="str">
        <f t="shared" si="2"/>
        <v>E31 104.2/6.7 +B</v>
      </c>
      <c r="L40" s="1" t="str">
        <f t="shared" si="23"/>
        <v>104</v>
      </c>
      <c r="M40" s="59"/>
      <c r="N40" s="3" t="s">
        <v>49</v>
      </c>
      <c r="O40" s="3" t="str">
        <f t="shared" si="25"/>
        <v>040</v>
      </c>
      <c r="P40" s="11" t="str">
        <f t="shared" si="26"/>
        <v>DEE</v>
      </c>
      <c r="Q40" s="1" t="s">
        <v>151</v>
      </c>
      <c r="R40" s="3" t="str">
        <f t="shared" si="5"/>
        <v>-130</v>
      </c>
      <c r="S40" s="3" t="str">
        <f t="shared" si="5"/>
        <v>-130</v>
      </c>
      <c r="U40" s="48">
        <v>2</v>
      </c>
      <c r="V40" s="25" t="s">
        <v>65</v>
      </c>
      <c r="W40" s="3" t="s">
        <v>75</v>
      </c>
      <c r="X40" s="3">
        <v>2</v>
      </c>
      <c r="Y40" s="3">
        <v>6.7</v>
      </c>
      <c r="Z40" s="3">
        <v>6.7</v>
      </c>
      <c r="AA40" s="3" t="str">
        <f t="shared" si="17"/>
        <v>+B</v>
      </c>
    </row>
    <row r="41" spans="1:27" x14ac:dyDescent="0.25">
      <c r="A41" s="3">
        <v>37</v>
      </c>
      <c r="B41" s="3" t="s">
        <v>202</v>
      </c>
      <c r="C41" s="3" t="s">
        <v>47</v>
      </c>
      <c r="D41" s="3" t="s">
        <v>56</v>
      </c>
      <c r="E41" s="3">
        <v>2</v>
      </c>
      <c r="F41" s="3">
        <v>8</v>
      </c>
      <c r="G41" s="3">
        <v>8</v>
      </c>
      <c r="H41" s="12" t="s">
        <v>20</v>
      </c>
      <c r="I41" s="5" t="str">
        <f t="shared" si="0"/>
        <v>S 104 A 066 -130</v>
      </c>
      <c r="J41" s="4" t="str">
        <f t="shared" si="1"/>
        <v>DBPE 104 A 066 -130</v>
      </c>
      <c r="K41" s="6" t="str">
        <f t="shared" si="2"/>
        <v>E31 104.2/8.7 +B</v>
      </c>
      <c r="L41" s="1" t="str">
        <f t="shared" si="23"/>
        <v>104</v>
      </c>
      <c r="M41" s="59"/>
      <c r="N41" s="3" t="s">
        <v>49</v>
      </c>
      <c r="O41" s="3" t="str">
        <f>"066"</f>
        <v>066</v>
      </c>
      <c r="P41" s="12" t="str">
        <f>"DBPE"</f>
        <v>DBPE</v>
      </c>
      <c r="Q41" s="1" t="s">
        <v>151</v>
      </c>
      <c r="R41" s="3" t="str">
        <f t="shared" si="5"/>
        <v>-130</v>
      </c>
      <c r="S41" s="3" t="str">
        <f t="shared" si="5"/>
        <v>-130</v>
      </c>
      <c r="T41" s="56" t="s">
        <v>99</v>
      </c>
      <c r="U41" s="53">
        <v>11</v>
      </c>
      <c r="V41" s="24" t="s">
        <v>68</v>
      </c>
      <c r="W41" s="3" t="s">
        <v>75</v>
      </c>
      <c r="X41" s="3">
        <v>2</v>
      </c>
      <c r="Y41" s="3">
        <v>8.6999999999999993</v>
      </c>
      <c r="Z41" s="3">
        <v>8.6999999999999993</v>
      </c>
      <c r="AA41" s="3" t="str">
        <f t="shared" si="17"/>
        <v>+B</v>
      </c>
    </row>
    <row r="42" spans="1:27" x14ac:dyDescent="0.25">
      <c r="A42" s="3">
        <v>38</v>
      </c>
      <c r="B42" s="3" t="s">
        <v>123</v>
      </c>
      <c r="C42" s="3" t="s">
        <v>32</v>
      </c>
      <c r="D42" s="3" t="s">
        <v>56</v>
      </c>
      <c r="E42" s="3">
        <v>0.5</v>
      </c>
      <c r="F42" s="3">
        <v>8</v>
      </c>
      <c r="G42" s="3">
        <v>8</v>
      </c>
      <c r="H42" s="12" t="s">
        <v>26</v>
      </c>
      <c r="I42" s="5" t="str">
        <f t="shared" ref="I42" si="27">IF(OR(Q42="",L42="",N42="",O42="",R42=""),"(incompletely spec'd)",CONCATENATE(Q42," ",L42," ",N42," ",O42," ",R42))</f>
        <v>S 104 A 066 -130</v>
      </c>
      <c r="J42" s="4" t="str">
        <f t="shared" ref="J42" si="28">IF(OR(P42="",L42="",N42="",O42="",R42=""),"(incompletely spec'd)",CONCATENATE(P42," ",L42," ",N42," ",O42," ",R42))</f>
        <v>DBPE 104 A 066 -130</v>
      </c>
      <c r="K42" s="6" t="str">
        <f t="shared" si="2"/>
        <v>E32 104.3/8.7 +B</v>
      </c>
      <c r="L42" s="1" t="str">
        <f t="shared" ref="L42" si="29">"104"</f>
        <v>104</v>
      </c>
      <c r="M42" s="59"/>
      <c r="N42" s="3" t="s">
        <v>49</v>
      </c>
      <c r="O42" s="3" t="str">
        <f>"066"</f>
        <v>066</v>
      </c>
      <c r="P42" s="12" t="str">
        <f>"DBPE"</f>
        <v>DBPE</v>
      </c>
      <c r="Q42" s="1" t="s">
        <v>151</v>
      </c>
      <c r="R42" s="3" t="str">
        <f t="shared" si="5"/>
        <v>-130</v>
      </c>
      <c r="S42" s="3" t="str">
        <f t="shared" si="5"/>
        <v>-130</v>
      </c>
      <c r="T42" s="56" t="s">
        <v>100</v>
      </c>
      <c r="U42" s="54">
        <v>12</v>
      </c>
      <c r="V42" s="24" t="s">
        <v>69</v>
      </c>
      <c r="W42" s="3" t="s">
        <v>115</v>
      </c>
      <c r="X42" s="3">
        <v>3</v>
      </c>
      <c r="Y42" s="3">
        <v>8.6999999999999993</v>
      </c>
      <c r="Z42" s="28">
        <v>8.6999999999999993</v>
      </c>
      <c r="AA42" s="3" t="str">
        <f t="shared" si="17"/>
        <v>+B</v>
      </c>
    </row>
    <row r="43" spans="1:27" x14ac:dyDescent="0.25">
      <c r="A43" s="3">
        <v>39</v>
      </c>
      <c r="B43" s="3" t="s">
        <v>34</v>
      </c>
      <c r="C43" s="3" t="s">
        <v>35</v>
      </c>
      <c r="D43" s="3" t="s">
        <v>56</v>
      </c>
      <c r="E43" s="3">
        <v>2</v>
      </c>
      <c r="F43" s="3">
        <v>8</v>
      </c>
      <c r="G43" s="3">
        <v>8</v>
      </c>
      <c r="H43" s="12" t="s">
        <v>26</v>
      </c>
      <c r="I43" s="5" t="str">
        <f t="shared" si="0"/>
        <v>S 104 A 066 -130</v>
      </c>
      <c r="J43" s="4" t="str">
        <f t="shared" si="1"/>
        <v>DBPE 104 A 066 -130</v>
      </c>
      <c r="K43" s="6" t="str">
        <f t="shared" si="2"/>
        <v>E31 104.2/7.7 +B</v>
      </c>
      <c r="L43" s="1" t="str">
        <f t="shared" si="23"/>
        <v>104</v>
      </c>
      <c r="M43" s="59"/>
      <c r="N43" s="3" t="s">
        <v>49</v>
      </c>
      <c r="O43" s="3" t="str">
        <f>"066"</f>
        <v>066</v>
      </c>
      <c r="P43" s="12" t="str">
        <f>"DBPE"</f>
        <v>DBPE</v>
      </c>
      <c r="Q43" s="1" t="s">
        <v>151</v>
      </c>
      <c r="R43" s="3" t="str">
        <f t="shared" si="5"/>
        <v>-130</v>
      </c>
      <c r="S43" s="3" t="str">
        <f t="shared" si="5"/>
        <v>-130</v>
      </c>
      <c r="U43" s="58" t="s">
        <v>143</v>
      </c>
      <c r="V43" s="26"/>
      <c r="W43" s="3" t="s">
        <v>75</v>
      </c>
      <c r="X43" s="3">
        <v>2</v>
      </c>
      <c r="Y43" s="28">
        <v>7.7</v>
      </c>
      <c r="Z43" s="28">
        <v>7.7</v>
      </c>
      <c r="AA43" s="3" t="str">
        <f t="shared" si="17"/>
        <v>+B</v>
      </c>
    </row>
    <row r="44" spans="1:27" x14ac:dyDescent="0.25">
      <c r="A44" s="3">
        <v>40</v>
      </c>
      <c r="B44" s="3" t="s">
        <v>46</v>
      </c>
      <c r="C44" s="3" t="s">
        <v>48</v>
      </c>
      <c r="D44" s="3" t="s">
        <v>56</v>
      </c>
      <c r="E44" s="3">
        <v>6</v>
      </c>
      <c r="F44" s="3">
        <v>8</v>
      </c>
      <c r="G44" s="3">
        <v>12</v>
      </c>
      <c r="H44" s="12" t="s">
        <v>26</v>
      </c>
      <c r="I44" s="5" t="str">
        <f t="shared" si="0"/>
        <v>S 105 A 069 -130</v>
      </c>
      <c r="J44" s="4" t="str">
        <f t="shared" si="1"/>
        <v>DBPE 105 A 069 -130</v>
      </c>
      <c r="K44" s="6" t="str">
        <f t="shared" si="2"/>
        <v>E31 105.2/10.7 +B</v>
      </c>
      <c r="L44" s="1" t="str">
        <f>"105"</f>
        <v>105</v>
      </c>
      <c r="M44" s="10"/>
      <c r="N44" s="3" t="s">
        <v>49</v>
      </c>
      <c r="O44" s="3" t="str">
        <f>"069"</f>
        <v>069</v>
      </c>
      <c r="P44" s="12" t="str">
        <f>"DBPE"</f>
        <v>DBPE</v>
      </c>
      <c r="Q44" s="1" t="s">
        <v>151</v>
      </c>
      <c r="R44" s="3" t="str">
        <f t="shared" si="5"/>
        <v>-130</v>
      </c>
      <c r="S44" s="3" t="str">
        <f t="shared" si="5"/>
        <v>-130</v>
      </c>
      <c r="T44" s="56" t="s">
        <v>99</v>
      </c>
      <c r="U44" s="55">
        <v>13</v>
      </c>
      <c r="V44" s="24" t="s">
        <v>66</v>
      </c>
      <c r="W44" s="3" t="s">
        <v>75</v>
      </c>
      <c r="X44" s="3">
        <v>2</v>
      </c>
      <c r="Y44" s="3">
        <v>10.7</v>
      </c>
      <c r="Z44" s="3">
        <v>10.7</v>
      </c>
      <c r="AA44" s="3" t="str">
        <f t="shared" si="17"/>
        <v>+B</v>
      </c>
    </row>
    <row r="45" spans="1:27" ht="15.75" thickBot="1" x14ac:dyDescent="0.3">
      <c r="A45" s="3">
        <v>41</v>
      </c>
      <c r="B45" s="3" t="s">
        <v>46</v>
      </c>
      <c r="C45" s="3" t="s">
        <v>48</v>
      </c>
      <c r="D45" s="3" t="s">
        <v>56</v>
      </c>
      <c r="E45" s="3">
        <v>6</v>
      </c>
      <c r="F45" s="3">
        <v>8</v>
      </c>
      <c r="G45" s="3">
        <v>12</v>
      </c>
      <c r="H45" s="11" t="s">
        <v>5</v>
      </c>
      <c r="I45" s="32" t="str">
        <f t="shared" si="0"/>
        <v>S 105 Z 069 -130</v>
      </c>
      <c r="J45" s="33" t="str">
        <f t="shared" si="1"/>
        <v>DEE 105 Z 069 -130</v>
      </c>
      <c r="K45" s="34" t="str">
        <f t="shared" si="2"/>
        <v>E31 105.2/10.7 +B</v>
      </c>
      <c r="L45" s="1" t="str">
        <f>"105"</f>
        <v>105</v>
      </c>
      <c r="M45" s="10"/>
      <c r="N45" s="3" t="s">
        <v>50</v>
      </c>
      <c r="O45" s="3" t="str">
        <f>"069"</f>
        <v>069</v>
      </c>
      <c r="P45" s="11" t="str">
        <f>"DEE"</f>
        <v>DEE</v>
      </c>
      <c r="Q45" s="1" t="s">
        <v>151</v>
      </c>
      <c r="R45" s="3" t="str">
        <f t="shared" si="5"/>
        <v>-130</v>
      </c>
      <c r="S45" s="3" t="str">
        <f t="shared" si="5"/>
        <v>-130</v>
      </c>
      <c r="T45" s="56" t="s">
        <v>99</v>
      </c>
      <c r="U45" s="55">
        <v>13</v>
      </c>
      <c r="V45" s="24" t="s">
        <v>66</v>
      </c>
      <c r="W45" s="3" t="s">
        <v>75</v>
      </c>
      <c r="X45" s="3">
        <v>2</v>
      </c>
      <c r="Y45" s="3">
        <v>10.7</v>
      </c>
      <c r="Z45" s="3">
        <v>10.7</v>
      </c>
      <c r="AA45" s="3" t="str">
        <f t="shared" si="17"/>
        <v>+B</v>
      </c>
    </row>
    <row r="46" spans="1:27" x14ac:dyDescent="0.25">
      <c r="A46" s="3"/>
      <c r="B46" s="3"/>
      <c r="C46" s="3"/>
      <c r="D46" s="3"/>
      <c r="E46" s="3"/>
      <c r="W46" s="3"/>
      <c r="X46" s="3"/>
      <c r="Z46" s="3"/>
      <c r="AA46" s="3"/>
    </row>
    <row r="47" spans="1:27" x14ac:dyDescent="0.25">
      <c r="A47" s="3"/>
      <c r="B47" s="3"/>
      <c r="C47" s="3"/>
      <c r="D47" s="3"/>
      <c r="E47" s="3"/>
      <c r="I47" s="1"/>
      <c r="J47" s="1"/>
      <c r="K47" s="1"/>
      <c r="O47" s="1"/>
      <c r="R47" s="1"/>
      <c r="S47" s="1"/>
      <c r="T47" s="3"/>
      <c r="V47" s="1"/>
      <c r="Y47" s="1"/>
    </row>
    <row r="48" spans="1:27" x14ac:dyDescent="0.25">
      <c r="A48" s="3"/>
      <c r="B48" s="3"/>
      <c r="C48" s="3"/>
      <c r="D48" s="3"/>
      <c r="E48" s="3"/>
      <c r="I48" s="1"/>
      <c r="J48" s="1"/>
      <c r="K48" s="1"/>
      <c r="O48" s="1"/>
      <c r="R48" s="1"/>
      <c r="S48" s="1"/>
      <c r="T48" s="3"/>
      <c r="V48" s="1"/>
      <c r="Y48" s="1"/>
    </row>
    <row r="49" spans="1:25" x14ac:dyDescent="0.25">
      <c r="A49" s="3"/>
      <c r="B49" s="3"/>
      <c r="C49" s="3"/>
      <c r="D49" s="3"/>
      <c r="E49" s="3"/>
      <c r="I49" s="1"/>
      <c r="J49" s="1"/>
      <c r="K49" s="1"/>
      <c r="O49" s="1"/>
      <c r="R49" s="1"/>
      <c r="S49" s="1"/>
      <c r="T49" s="3"/>
      <c r="V49" s="1"/>
      <c r="Y49" s="1"/>
    </row>
    <row r="50" spans="1:25" x14ac:dyDescent="0.25">
      <c r="F50" s="1"/>
      <c r="G50" s="1"/>
      <c r="I50" s="1"/>
      <c r="J50" s="1"/>
      <c r="K50" s="1"/>
      <c r="O50" s="1"/>
      <c r="R50" s="1"/>
      <c r="S50" s="1"/>
      <c r="T50" s="3"/>
      <c r="V50" s="1"/>
      <c r="Y50" s="1"/>
    </row>
    <row r="51" spans="1:25" x14ac:dyDescent="0.25">
      <c r="F51" s="1"/>
      <c r="G51" s="1"/>
      <c r="I51" s="1"/>
      <c r="J51" s="1"/>
      <c r="K51" s="1"/>
      <c r="O51" s="1"/>
      <c r="R51" s="1"/>
      <c r="S51" s="1"/>
      <c r="T51" s="3"/>
      <c r="V51" s="1"/>
      <c r="Y51" s="1"/>
    </row>
    <row r="52" spans="1:25" x14ac:dyDescent="0.25">
      <c r="F52" s="1"/>
      <c r="G52" s="1"/>
      <c r="I52" s="1"/>
      <c r="J52" s="1"/>
      <c r="K52" s="1"/>
      <c r="O52" s="1"/>
      <c r="R52" s="1"/>
      <c r="S52" s="1"/>
      <c r="T52" s="3"/>
      <c r="V52" s="1"/>
      <c r="Y52" s="1"/>
    </row>
  </sheetData>
  <conditionalFormatting sqref="O5:O4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tabSelected="1" workbookViewId="0">
      <selection activeCell="E7" sqref="E7"/>
    </sheetView>
  </sheetViews>
  <sheetFormatPr defaultRowHeight="15" x14ac:dyDescent="0.25"/>
  <cols>
    <col min="1" max="1" width="11.85546875" style="1" customWidth="1"/>
    <col min="2" max="2" width="34.7109375" style="1" bestFit="1" customWidth="1"/>
    <col min="3" max="3" width="11" style="1" bestFit="1" customWidth="1"/>
    <col min="4" max="4" width="24" style="1" bestFit="1" customWidth="1"/>
    <col min="5" max="5" width="9.140625" style="1"/>
    <col min="6" max="6" width="12.85546875" style="1" bestFit="1" customWidth="1"/>
    <col min="7" max="7" width="23.85546875" style="1" bestFit="1" customWidth="1"/>
    <col min="8" max="8" width="19.42578125" style="1" customWidth="1"/>
    <col min="9" max="9" width="17.28515625" style="1" customWidth="1"/>
    <col min="10" max="10" width="17.85546875" style="1" customWidth="1"/>
    <col min="11" max="11" width="3" style="1" customWidth="1"/>
    <col min="12" max="14" width="4.28515625" style="65" customWidth="1"/>
    <col min="15" max="16384" width="9.140625" style="1"/>
  </cols>
  <sheetData>
    <row r="1" spans="1:14" s="69" customFormat="1" ht="45" x14ac:dyDescent="0.25">
      <c r="A1" s="2" t="s">
        <v>208</v>
      </c>
      <c r="B1" s="2" t="s">
        <v>131</v>
      </c>
      <c r="C1" s="2" t="s">
        <v>174</v>
      </c>
      <c r="D1" s="2" t="s">
        <v>193</v>
      </c>
      <c r="E1" s="2" t="s">
        <v>182</v>
      </c>
      <c r="F1" s="2" t="s">
        <v>183</v>
      </c>
      <c r="G1" s="2" t="s">
        <v>212</v>
      </c>
      <c r="H1" s="2" t="s">
        <v>207</v>
      </c>
      <c r="I1" s="2" t="s">
        <v>209</v>
      </c>
      <c r="J1" s="2" t="s">
        <v>210</v>
      </c>
      <c r="L1" s="70" t="s">
        <v>171</v>
      </c>
      <c r="M1" s="70" t="s">
        <v>172</v>
      </c>
      <c r="N1" s="70" t="s">
        <v>173</v>
      </c>
    </row>
    <row r="2" spans="1:14" x14ac:dyDescent="0.25">
      <c r="A2" s="8">
        <v>1</v>
      </c>
      <c r="B2" s="1" t="s">
        <v>134</v>
      </c>
      <c r="C2" s="1">
        <v>4</v>
      </c>
      <c r="D2" s="1" t="s">
        <v>177</v>
      </c>
      <c r="E2" s="72" t="s">
        <v>186</v>
      </c>
      <c r="F2" s="1">
        <v>1218568</v>
      </c>
      <c r="G2" s="1" t="s">
        <v>189</v>
      </c>
      <c r="H2" s="1" t="s">
        <v>190</v>
      </c>
      <c r="I2" s="1">
        <v>8.6999999999999993</v>
      </c>
      <c r="J2" s="1">
        <v>8.5</v>
      </c>
      <c r="L2" s="65">
        <v>255</v>
      </c>
      <c r="M2" s="65">
        <v>0</v>
      </c>
      <c r="N2" s="65">
        <v>0</v>
      </c>
    </row>
    <row r="3" spans="1:14" x14ac:dyDescent="0.25">
      <c r="A3" s="48">
        <v>2</v>
      </c>
      <c r="B3" s="1" t="s">
        <v>135</v>
      </c>
      <c r="C3" s="1">
        <v>2</v>
      </c>
      <c r="D3" s="1" t="s">
        <v>197</v>
      </c>
      <c r="E3" s="75" t="s">
        <v>217</v>
      </c>
      <c r="L3" s="65">
        <v>255</v>
      </c>
      <c r="M3" s="65">
        <v>138</v>
      </c>
      <c r="N3" s="65">
        <v>85</v>
      </c>
    </row>
    <row r="4" spans="1:14" x14ac:dyDescent="0.25">
      <c r="A4" s="49">
        <v>3</v>
      </c>
      <c r="B4" s="1" t="s">
        <v>136</v>
      </c>
      <c r="C4" s="1">
        <v>2</v>
      </c>
      <c r="D4" s="1" t="s">
        <v>205</v>
      </c>
      <c r="E4" s="73" t="s">
        <v>186</v>
      </c>
      <c r="F4" s="1">
        <v>1190204</v>
      </c>
      <c r="G4" s="1" t="s">
        <v>204</v>
      </c>
      <c r="H4" s="1" t="s">
        <v>179</v>
      </c>
      <c r="J4" s="1">
        <v>3.4</v>
      </c>
      <c r="L4" s="65">
        <v>255</v>
      </c>
      <c r="M4" s="65">
        <v>182</v>
      </c>
      <c r="N4" s="65">
        <v>1</v>
      </c>
    </row>
    <row r="5" spans="1:14" x14ac:dyDescent="0.25">
      <c r="A5" s="28">
        <v>4</v>
      </c>
      <c r="B5" s="1" t="s">
        <v>137</v>
      </c>
      <c r="C5" s="1">
        <v>4</v>
      </c>
      <c r="D5" s="1" t="s">
        <v>178</v>
      </c>
      <c r="E5" s="72" t="s">
        <v>186</v>
      </c>
      <c r="F5" s="1">
        <v>1302756</v>
      </c>
      <c r="G5" s="1" t="s">
        <v>206</v>
      </c>
      <c r="H5" s="1" t="s">
        <v>180</v>
      </c>
      <c r="I5" s="1" t="s">
        <v>211</v>
      </c>
      <c r="J5" s="1">
        <v>4.0999999999999996</v>
      </c>
      <c r="L5" s="65">
        <v>255</v>
      </c>
      <c r="M5" s="65">
        <v>255</v>
      </c>
      <c r="N5" s="65">
        <v>0</v>
      </c>
    </row>
    <row r="6" spans="1:14" x14ac:dyDescent="0.25">
      <c r="A6" s="44">
        <v>5</v>
      </c>
      <c r="B6" s="1" t="s">
        <v>138</v>
      </c>
      <c r="C6" s="1">
        <v>2</v>
      </c>
      <c r="D6" s="1" t="s">
        <v>201</v>
      </c>
      <c r="E6" s="72" t="s">
        <v>186</v>
      </c>
      <c r="F6" s="1">
        <v>1218672</v>
      </c>
      <c r="G6" s="3"/>
      <c r="H6" s="3"/>
      <c r="I6" s="1">
        <v>3.9</v>
      </c>
      <c r="J6" s="1">
        <v>4</v>
      </c>
      <c r="L6" s="65">
        <v>207</v>
      </c>
      <c r="M6" s="65">
        <v>255</v>
      </c>
      <c r="N6" s="65">
        <v>0</v>
      </c>
    </row>
    <row r="7" spans="1:14" x14ac:dyDescent="0.25">
      <c r="A7" s="50">
        <v>6</v>
      </c>
      <c r="B7" s="1" t="s">
        <v>139</v>
      </c>
      <c r="C7" s="1">
        <v>2</v>
      </c>
      <c r="D7" s="1" t="s">
        <v>179</v>
      </c>
      <c r="L7" s="65">
        <v>116</v>
      </c>
      <c r="M7" s="65">
        <v>196</v>
      </c>
      <c r="N7" s="65">
        <v>36</v>
      </c>
    </row>
    <row r="8" spans="1:14" x14ac:dyDescent="0.25">
      <c r="A8" s="46">
        <v>7</v>
      </c>
      <c r="B8" s="1" t="s">
        <v>140</v>
      </c>
      <c r="C8" s="1">
        <v>5</v>
      </c>
      <c r="D8" s="1" t="s">
        <v>179</v>
      </c>
      <c r="E8" s="75" t="s">
        <v>217</v>
      </c>
      <c r="L8" s="65">
        <v>8</v>
      </c>
      <c r="M8" s="65">
        <v>246</v>
      </c>
      <c r="N8" s="65">
        <v>167</v>
      </c>
    </row>
    <row r="9" spans="1:14" x14ac:dyDescent="0.25">
      <c r="A9" s="47">
        <v>8</v>
      </c>
      <c r="B9" s="1" t="s">
        <v>132</v>
      </c>
      <c r="C9" s="1">
        <v>6</v>
      </c>
      <c r="D9" s="1" t="s">
        <v>203</v>
      </c>
      <c r="E9" s="73" t="s">
        <v>186</v>
      </c>
      <c r="L9" s="65">
        <v>143</v>
      </c>
      <c r="M9" s="65">
        <v>239</v>
      </c>
      <c r="N9" s="65">
        <v>255</v>
      </c>
    </row>
    <row r="10" spans="1:14" x14ac:dyDescent="0.25">
      <c r="A10" s="51">
        <v>9</v>
      </c>
      <c r="B10" s="1" t="s">
        <v>141</v>
      </c>
      <c r="C10" s="1">
        <v>8</v>
      </c>
      <c r="D10" s="1" t="s">
        <v>203</v>
      </c>
      <c r="E10" s="72" t="s">
        <v>186</v>
      </c>
      <c r="F10" s="1">
        <v>1190215</v>
      </c>
      <c r="G10" s="3"/>
      <c r="H10" s="3"/>
      <c r="I10" s="1" t="s">
        <v>216</v>
      </c>
      <c r="J10" s="1">
        <v>5.5</v>
      </c>
      <c r="L10" s="65">
        <v>37</v>
      </c>
      <c r="M10" s="65">
        <v>224</v>
      </c>
      <c r="N10" s="65">
        <v>255</v>
      </c>
    </row>
    <row r="11" spans="1:14" x14ac:dyDescent="0.25">
      <c r="A11" s="52">
        <v>10</v>
      </c>
      <c r="B11" s="1" t="s">
        <v>181</v>
      </c>
      <c r="C11" s="1">
        <v>4</v>
      </c>
      <c r="D11" s="1" t="s">
        <v>203</v>
      </c>
      <c r="E11" s="73" t="s">
        <v>124</v>
      </c>
      <c r="L11" s="65">
        <v>1</v>
      </c>
      <c r="M11" s="65">
        <v>122</v>
      </c>
      <c r="N11" s="65">
        <v>255</v>
      </c>
    </row>
    <row r="12" spans="1:14" x14ac:dyDescent="0.25">
      <c r="A12" s="53">
        <v>11</v>
      </c>
      <c r="B12" s="1" t="s">
        <v>175</v>
      </c>
      <c r="C12" s="1">
        <v>6</v>
      </c>
      <c r="D12" s="1" t="s">
        <v>180</v>
      </c>
      <c r="E12" s="75" t="s">
        <v>217</v>
      </c>
      <c r="L12" s="65">
        <v>128</v>
      </c>
      <c r="M12" s="65">
        <v>0</v>
      </c>
      <c r="N12" s="65">
        <v>128</v>
      </c>
    </row>
    <row r="13" spans="1:14" x14ac:dyDescent="0.25">
      <c r="A13" s="54">
        <v>12</v>
      </c>
      <c r="B13" s="1" t="s">
        <v>176</v>
      </c>
      <c r="C13" s="1">
        <v>8</v>
      </c>
      <c r="D13" s="1" t="s">
        <v>203</v>
      </c>
      <c r="E13" s="73" t="s">
        <v>124</v>
      </c>
      <c r="L13" s="65">
        <v>186</v>
      </c>
      <c r="M13" s="65">
        <v>2</v>
      </c>
      <c r="N13" s="65">
        <v>112</v>
      </c>
    </row>
    <row r="14" spans="1:14" x14ac:dyDescent="0.25">
      <c r="A14" s="55">
        <v>13</v>
      </c>
      <c r="B14" s="1" t="s">
        <v>133</v>
      </c>
      <c r="C14" s="1">
        <v>12</v>
      </c>
      <c r="D14" s="1" t="s">
        <v>197</v>
      </c>
      <c r="E14" s="72" t="s">
        <v>186</v>
      </c>
      <c r="F14" s="1">
        <v>1504127</v>
      </c>
      <c r="G14" s="1" t="s">
        <v>191</v>
      </c>
      <c r="H14" s="1" t="s">
        <v>192</v>
      </c>
      <c r="I14" s="1">
        <v>10.7</v>
      </c>
      <c r="J14" s="1">
        <v>10.6</v>
      </c>
      <c r="L14" s="65">
        <v>255</v>
      </c>
      <c r="M14" s="65">
        <v>153</v>
      </c>
      <c r="N14" s="65">
        <v>204</v>
      </c>
    </row>
    <row r="15" spans="1:14" x14ac:dyDescent="0.25">
      <c r="A15" s="66">
        <v>14</v>
      </c>
      <c r="B15" s="1" t="s">
        <v>187</v>
      </c>
      <c r="C15" s="1">
        <v>1</v>
      </c>
      <c r="D15" s="67" t="s">
        <v>143</v>
      </c>
      <c r="E15" s="74" t="s">
        <v>188</v>
      </c>
      <c r="F15" s="74"/>
      <c r="G15" s="74"/>
      <c r="H15" s="74"/>
      <c r="I15" s="71">
        <v>5.0999999999999996</v>
      </c>
      <c r="J15" s="68"/>
      <c r="L15" s="65">
        <v>0</v>
      </c>
      <c r="M15" s="65">
        <v>0</v>
      </c>
      <c r="N15" s="65">
        <v>0</v>
      </c>
    </row>
    <row r="16" spans="1:14" x14ac:dyDescent="0.25">
      <c r="A16" s="57"/>
    </row>
    <row r="18" spans="9:14" x14ac:dyDescent="0.25">
      <c r="I18" s="65"/>
      <c r="J18" s="65"/>
      <c r="K18" s="65"/>
      <c r="M18" s="1"/>
      <c r="N18" s="1"/>
    </row>
  </sheetData>
  <mergeCells count="1">
    <mergeCell ref="E15:H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plain list</vt:lpstr>
      <vt:lpstr>complete speadsheet</vt:lpstr>
      <vt:lpstr>cable types list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2012-03-10T20:36:07Z</dcterms:modified>
</cp:coreProperties>
</file>